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10"/>
    <sheet name="FLOPs to Power" sheetId="7" r:id="rId11"/>
    <sheet name="Duration Lens" sheetId="8" r:id="rId1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<sst xmlns="http://schemas.openxmlformats.org/spreadsheetml/2006/main" count="339" uniqueCount="164">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</sst>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26" customWidth="1"/>
    <col min="2" max="2" width="12" customWidth="1"/>
    <col min="3" max="3" width="78" customWidth="1"/>
  </cols>
  <sheetData>
    <row r="1">
      <c r="A1" t="inlineStr">
        <is>
          <t>Macro Levers (ITEM 8 / ITEM 9)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Edit column B. Read by dashboard + export.</t>
        </is>
      </c>
      <c r="B2" t="inlineStr">
        <is>
          <t>see</t>
        </is>
      </c>
      <c r="C2" t="inlineStr">
        <is>
          <t>research/model_corrections_2026-06-23.md (defaults = committed base, 332.4 GW @ 2029)</t>
        </is>
      </c>
    </row>
    <row r="3">
      <c r="A3" t="inlineStr">
        <is>
          <t>param_key</t>
        </is>
      </c>
      <c r="B3" t="inlineStr">
        <is>
          <t>value</t>
        </is>
      </c>
      <c r="C3" t="inlineStr">
        <is>
          <t>notes</t>
        </is>
      </c>
    </row>
    <row r="4">
      <c r="A4" t="inlineStr">
        <is>
          <t>use_flops_demand</t>
        </is>
      </c>
      <c r="B4">
        <v>0</v>
      </c>
      <c r="C4" t="inlineStr">
        <is>
          <t>1=ON: rebase demand on FLOPs (tokens x 2N). 0=committed token basis</t>
        </is>
      </c>
    </row>
    <row r="5">
      <c r="A5" t="inlineStr">
        <is>
          <t>flops_n_frontier_b</t>
        </is>
      </c>
      <c r="B5">
        <v>500</v>
      </c>
      <c r="C5" t="inlineStr">
        <is>
          <t>active params (billions), frontier tier</t>
        </is>
      </c>
    </row>
    <row r="6">
      <c r="A6" t="inlineStr">
        <is>
          <t>flops_n_mid_b</t>
        </is>
      </c>
      <c r="B6">
        <v>70</v>
      </c>
      <c r="C6" t="inlineStr">
        <is>
          <t>active params (billions), mid tier</t>
        </is>
      </c>
    </row>
    <row r="7">
      <c r="A7" t="inlineStr">
        <is>
          <t>flops_n_small_b</t>
        </is>
      </c>
      <c r="B7">
        <v>8</v>
      </c>
      <c r="C7" t="inlineStr">
        <is>
          <t>active params (billions), small tier</t>
        </is>
      </c>
    </row>
    <row r="8">
      <c r="A8" t="inlineStr">
        <is>
          <t>flops_mix2025_frontier</t>
        </is>
      </c>
      <c r="B8">
        <v>0.55</v>
      </c>
      <c r="C8" t="inlineStr">
        <is>
          <t>2025 token share, frontier</t>
        </is>
      </c>
    </row>
    <row r="9">
      <c r="A9" t="inlineStr">
        <is>
          <t>flops_mix2025_mid</t>
        </is>
      </c>
      <c r="B9">
        <v>0.3</v>
      </c>
      <c r="C9" t="inlineStr">
        <is>
          <t>2025 token share, mid</t>
        </is>
      </c>
    </row>
    <row r="10">
      <c r="A10" t="inlineStr">
        <is>
          <t>flops_mix2025_small</t>
        </is>
      </c>
      <c r="B10">
        <v>0.15</v>
      </c>
      <c r="C10" t="inlineStr">
        <is>
          <t>2025 token share, small</t>
        </is>
      </c>
    </row>
    <row r="11">
      <c r="A11" t="inlineStr">
        <is>
          <t>flops_mix2040_frontier</t>
        </is>
      </c>
      <c r="B11">
        <v>0.15</v>
      </c>
      <c r="C11" t="inlineStr">
        <is>
          <t>2040 token share, frontier</t>
        </is>
      </c>
    </row>
    <row r="12">
      <c r="A12" t="inlineStr">
        <is>
          <t>flops_mix2040_mid</t>
        </is>
      </c>
      <c r="B12">
        <v>0.35</v>
      </c>
      <c r="C12" t="inlineStr">
        <is>
          <t>2040 token share, mid</t>
        </is>
      </c>
    </row>
    <row r="13">
      <c r="A13" t="inlineStr">
        <is>
          <t>flops_mix2040_small</t>
        </is>
      </c>
      <c r="B13">
        <v>0.5</v>
      </c>
      <c r="C13" t="inlineStr">
        <is>
          <t>2040 token share, small</t>
        </is>
      </c>
    </row>
    <row r="14">
      <c r="A14" t="inlineStr">
        <is>
          <t>flops_mfu</t>
        </is>
      </c>
      <c r="B14">
        <v>0.35</v>
      </c>
      <c r="C14" t="inlineStr">
        <is>
          <t>model FLOPs utilization (cancels in 2025 anchor)</t>
        </is>
      </c>
    </row>
    <row r="15">
      <c r="A15" t="inlineStr">
        <is>
          <t>capacity_retirement_rate</t>
        </is>
      </c>
      <c r="B15">
        <v>0</v>
      </c>
      <c r="C15" t="inlineStr">
        <is>
          <t>ITEM 9: 0=plateau (base), 1=cliff, 0..1=controlled decline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40"/>
    <col min="2" max="9" width="17"/>
  </cols>
  <sheetData>
    <row r="1">
      <c r="A1" t="inlineStr">
        <is>
          <t>FLOPs to Power  ·  LIVE formulas (tokens -&gt; FLOPs -&gt; power)</t>
        </is>
      </c>
    </row>
    <row r="2">
      <c r="A2" t="inlineStr">
        <is>
          <t>Edit the inputs below; FLOPs and power recompute. Tokens are linked live to the 'Efficiency Overlay' sheet.</t>
        </is>
      </c>
    </row>
    <row r="3">
      <c r="A3" t="inlineStr">
        <is>
          <t>anchor_GW_2025</t>
        </is>
      </c>
      <c r="B3">
        <v>70</v>
      </c>
    </row>
    <row r="4">
      <c r="A4" t="inlineStr">
        <is>
          <t>retail_uplift_to_1400_user_basis</t>
        </is>
      </c>
      <c r="B4">
        <f>1400/'Efficiency Overlay'!C9-1</f>
        <v>0.2727272727</v>
      </c>
    </row>
    <row r="5">
      <c r="A5" t="inlineStr">
        <is>
          <t>capacity_retirement_rate_per_yr (ITEM 9: 0=plateau, 1=cliff)</t>
        </is>
      </c>
      <c r="B5">
        <v>0</v>
      </c>
    </row>
    <row r="6">
      <c r="A6" t="inlineStr">
        <is>
          <t>training share = 6N FLOPs/token vs 2N inference. A CONSTANT split cancels in the re-anchor; VARY it by year to bend the power curve.</t>
        </is>
      </c>
    </row>
    <row r="7">
      <c r="A7" t="inlineStr">
        <is>
          <t>year</t>
        </is>
      </c>
      <c r="B7" t="inlineStr">
        <is>
          <t>tokens_day_T</t>
        </is>
      </c>
      <c r="C7" t="inlineStr">
        <is>
          <t>training_share</t>
        </is>
      </c>
      <c r="D7" t="inlineStr">
        <is>
          <t>avg_N_active_B</t>
        </is>
      </c>
      <c r="E7" t="inlineStr">
        <is>
          <t>fleet_TFLOP_per_W</t>
        </is>
      </c>
      <c r="F7" t="inlineStr">
        <is>
          <t>FLOPs_per_token</t>
        </is>
      </c>
      <c r="G7" t="inlineStr">
        <is>
          <t>FLOPs_per_day</t>
        </is>
      </c>
      <c r="H7" t="inlineStr">
        <is>
          <t>power_raw_GW</t>
        </is>
      </c>
      <c r="I7" t="inlineStr">
        <is>
          <t>power_GW_floored</t>
        </is>
      </c>
    </row>
    <row r="8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>(2*(1-C8)+6*C8)*D8*1000000000</f>
        <v>5.944e+11</v>
      </c>
      <c r="G8">
        <f>B8*1000000000000*F8</f>
        <v>8.019775568e+25</v>
      </c>
      <c r="H8">
        <f>(G8/E8)/($G$8/$E$8)*$B$3</f>
        <v>70</v>
      </c>
      <c r="I8">
        <f>H8</f>
        <v>70</v>
      </c>
    </row>
    <row r="9">
      <c r="A9">
        <v>2026</v>
      </c>
      <c r="B9">
        <f>'Efficiency Overlay'!D5+'Efficiency Overlay'!D7*$B$4</f>
        <v>460.844025</v>
      </c>
      <c r="C9">
        <v>0</v>
      </c>
      <c r="D9">
        <v>284.2866667</v>
      </c>
      <c r="E9">
        <v>11</v>
      </c>
      <c r="F9">
        <f>(2*(1-C9)+6*C9)*D9*1000000000</f>
        <v>5.685733333e+11</v>
      </c>
      <c r="G9">
        <f>B9*1000000000000*F9</f>
        <v>2.620236234e+26</v>
      </c>
      <c r="H9">
        <f>(G9/E9)/($G$8/$E$8)*$B$3</f>
        <v>187.1225372</v>
      </c>
      <c r="I9">
        <f>MAX(H9,I8*(1-$B$5))</f>
        <v>187.1225372</v>
      </c>
    </row>
    <row r="10">
      <c r="A10">
        <v>2027</v>
      </c>
      <c r="B10">
        <f>'Efficiency Overlay'!E5+'Efficiency Overlay'!E7*$B$4</f>
        <v>763.6132764</v>
      </c>
      <c r="C10">
        <v>0</v>
      </c>
      <c r="D10">
        <v>271.3733333</v>
      </c>
      <c r="E10">
        <v>14</v>
      </c>
      <c r="F10">
        <f>(2*(1-C10)+6*C10)*D10*1000000000</f>
        <v>5.427466667e+11</v>
      </c>
      <c r="G10">
        <f>B10*1000000000000*F10</f>
        <v>4.144485604e+26</v>
      </c>
      <c r="H10">
        <f>(G10/E10)/($G$8/$E$8)*$B$3</f>
        <v>232.5524581</v>
      </c>
      <c r="I10">
        <f>MAX(H10,I9*(1-$B$5))</f>
        <v>232.5524581</v>
      </c>
    </row>
    <row r="11">
      <c r="A11">
        <v>2028</v>
      </c>
      <c r="B11">
        <f>'Efficiency Overlay'!F5+'Efficiency Overlay'!F7*$B$4</f>
        <v>1359.802732</v>
      </c>
      <c r="C11">
        <v>0</v>
      </c>
      <c r="D11">
        <v>258.46</v>
      </c>
      <c r="E11">
        <v>18</v>
      </c>
      <c r="F11">
        <f>(2*(1-C11)+6*C11)*D11*1000000000</f>
        <v>5.1692e+11</v>
      </c>
      <c r="G11">
        <f>B11*1000000000000*F11</f>
        <v>7.029092283e+26</v>
      </c>
      <c r="H11">
        <f>(G11/E11)/($G$8/$E$8)*$B$3</f>
        <v>306.7644822</v>
      </c>
      <c r="I11">
        <f>MAX(H11,I10*(1-$B$5))</f>
        <v>306.7644822</v>
      </c>
    </row>
    <row r="12">
      <c r="A12">
        <v>2029</v>
      </c>
      <c r="B12">
        <f>'Efficiency Overlay'!G5+'Efficiency Overlay'!G7*$B$4</f>
        <v>2172.793754</v>
      </c>
      <c r="C12">
        <v>0</v>
      </c>
      <c r="D12">
        <v>245.5466667</v>
      </c>
      <c r="E12">
        <v>21.5</v>
      </c>
      <c r="F12">
        <f>(2*(1-C12)+6*C12)*D12*1000000000</f>
        <v>4.910933333e+11</v>
      </c>
      <c r="G12">
        <f>B12*1000000000000*F12</f>
        <v>1.067044527e+27</v>
      </c>
      <c r="H12">
        <f>(G12/E12)/($G$8/$E$8)*$B$3</f>
        <v>389.8723335</v>
      </c>
      <c r="I12">
        <f>MAX(H12,I11*(1-$B$5))</f>
        <v>389.8723335</v>
      </c>
    </row>
    <row r="13">
      <c r="A13">
        <v>2030</v>
      </c>
      <c r="B13">
        <f>'Efficiency Overlay'!H5+'Efficiency Overlay'!H7*$B$4</f>
        <v>3253.584075</v>
      </c>
      <c r="C13">
        <v>0</v>
      </c>
      <c r="D13">
        <v>232.6333333</v>
      </c>
      <c r="E13">
        <v>25</v>
      </c>
      <c r="F13">
        <f>(2*(1-C13)+6*C13)*D13*1000000000</f>
        <v>4.652666667e+11</v>
      </c>
      <c r="G13">
        <f>B13*1000000000000*F13</f>
        <v>1.513784217e+27</v>
      </c>
      <c r="H13">
        <f>(G13/E13)/($G$8/$E$8)*$B$3</f>
        <v>475.6662073</v>
      </c>
      <c r="I13">
        <f>MAX(H13,I12*(1-$B$5))</f>
        <v>475.6662073</v>
      </c>
    </row>
    <row r="14">
      <c r="A14">
        <v>2031</v>
      </c>
      <c r="B14">
        <f>'Efficiency Overlay'!I5+'Efficiency Overlay'!I7*$B$4</f>
        <v>4573.037415</v>
      </c>
      <c r="C14">
        <v>0</v>
      </c>
      <c r="D14">
        <v>219.72</v>
      </c>
      <c r="E14">
        <v>28</v>
      </c>
      <c r="F14">
        <f>(2*(1-C14)+6*C14)*D14*1000000000</f>
        <v>4.3944e+11</v>
      </c>
      <c r="G14">
        <f>B14*1000000000000*F14</f>
        <v>2.009575562e+27</v>
      </c>
      <c r="H14">
        <f>(G14/E14)/($G$8/$E$8)*$B$3</f>
        <v>563.7994449</v>
      </c>
      <c r="I14">
        <f>MAX(H14,I13*(1-$B$5))</f>
        <v>563.7994449</v>
      </c>
    </row>
    <row r="15">
      <c r="A15">
        <v>2032</v>
      </c>
      <c r="B15">
        <f>'Efficiency Overlay'!J5+'Efficiency Overlay'!J7*$B$4</f>
        <v>5901.417522</v>
      </c>
      <c r="C15">
        <v>0</v>
      </c>
      <c r="D15">
        <v>206.8066667</v>
      </c>
      <c r="E15">
        <v>31</v>
      </c>
      <c r="F15">
        <f>(2*(1-C15)+6*C15)*D15*1000000000</f>
        <v>4.136133333e+11</v>
      </c>
      <c r="G15">
        <f>B15*1000000000000*F15</f>
        <v>2.440904973e+27</v>
      </c>
      <c r="H15">
        <f>(G15/E15)/($G$8/$E$8)*$B$3</f>
        <v>618.5396054</v>
      </c>
      <c r="I15">
        <f>MAX(H15,I14*(1-$B$5))</f>
        <v>618.5396054</v>
      </c>
    </row>
    <row r="16">
      <c r="A16">
        <v>2033</v>
      </c>
      <c r="B16">
        <f>'Efficiency Overlay'!K5+'Efficiency Overlay'!K7*$B$4</f>
        <v>7334.615906</v>
      </c>
      <c r="C16">
        <v>0</v>
      </c>
      <c r="D16">
        <v>193.8933333</v>
      </c>
      <c r="E16">
        <v>34</v>
      </c>
      <c r="F16">
        <f>(2*(1-C16)+6*C16)*D16*1000000000</f>
        <v>3.877866667e+11</v>
      </c>
      <c r="G16">
        <f>B16*1000000000000*F16</f>
        <v>2.844266254e+27</v>
      </c>
      <c r="H16">
        <f>(G16/E16)/($G$8/$E$8)*$B$3</f>
        <v>657.1577987</v>
      </c>
      <c r="I16">
        <f>MAX(H16,I15*(1-$B$5))</f>
        <v>657.1577987</v>
      </c>
    </row>
    <row r="17">
      <c r="A17">
        <v>2034</v>
      </c>
      <c r="B17">
        <f>'Efficiency Overlay'!L5+'Efficiency Overlay'!L7*$B$4</f>
        <v>8998.706093</v>
      </c>
      <c r="C17">
        <v>0</v>
      </c>
      <c r="D17">
        <v>180.98</v>
      </c>
      <c r="E17">
        <v>37</v>
      </c>
      <c r="F17">
        <f>(2*(1-C17)+6*C17)*D17*1000000000</f>
        <v>3.6196e+11</v>
      </c>
      <c r="G17">
        <f>B17*1000000000000*F17</f>
        <v>3.257171657e+27</v>
      </c>
      <c r="H17">
        <f>(G17/E17)/($G$8/$E$8)*$B$3</f>
        <v>691.5399237</v>
      </c>
      <c r="I17">
        <f>MAX(H17,I16*(1-$B$5))</f>
        <v>691.5399237</v>
      </c>
    </row>
    <row r="18">
      <c r="A18">
        <v>2035</v>
      </c>
      <c r="B18">
        <f>'Efficiency Overlay'!M5+'Efficiency Overlay'!M7*$B$4</f>
        <v>10620.44566</v>
      </c>
      <c r="C18">
        <v>0</v>
      </c>
      <c r="D18">
        <v>168.0666667</v>
      </c>
      <c r="E18">
        <v>40</v>
      </c>
      <c r="F18">
        <f>(2*(1-C18)+6*C18)*D18*1000000000</f>
        <v>3.361333333e+11</v>
      </c>
      <c r="G18">
        <f>B18*1000000000000*F18</f>
        <v>3.569885802e+27</v>
      </c>
      <c r="H18">
        <f>(G18/E18)/($G$8/$E$8)*$B$3</f>
        <v>701.088215</v>
      </c>
      <c r="I18">
        <f>MAX(H18,I17*(1-$B$5))</f>
        <v>701.088215</v>
      </c>
    </row>
    <row r="19">
      <c r="A19">
        <v>2036</v>
      </c>
      <c r="B19">
        <f>'Efficiency Overlay'!N5+'Efficiency Overlay'!N7*$B$4</f>
        <v>12433.27321</v>
      </c>
      <c r="C19">
        <v>0</v>
      </c>
      <c r="D19">
        <v>155.1533333</v>
      </c>
      <c r="E19">
        <v>42.85714286</v>
      </c>
      <c r="F19">
        <f>(2*(1-C19)+6*C19)*D19*1000000000</f>
        <v>3.103066667e+11</v>
      </c>
      <c r="G19">
        <f>B19*1000000000000*F19</f>
        <v>3.858127565e+27</v>
      </c>
      <c r="H19">
        <f>(G19/E19)/($G$8/$E$8)*$B$3</f>
        <v>707.1828223</v>
      </c>
      <c r="I19">
        <f>MAX(H19,I18*(1-$B$5))</f>
        <v>707.1828223</v>
      </c>
    </row>
    <row r="20">
      <c r="A20">
        <v>2037</v>
      </c>
      <c r="B20">
        <f>'Efficiency Overlay'!O5+'Efficiency Overlay'!O7*$B$4</f>
        <v>14482.72296</v>
      </c>
      <c r="C20">
        <v>0</v>
      </c>
      <c r="D20">
        <v>142.24</v>
      </c>
      <c r="E20">
        <v>45.71428571</v>
      </c>
      <c r="F20">
        <f>(2*(1-C20)+6*C20)*D20*1000000000</f>
        <v>2.8448e+11</v>
      </c>
      <c r="G20">
        <f>B20*1000000000000*F20</f>
        <v>4.120045026e+27</v>
      </c>
      <c r="H20">
        <f>(G20/E20)/($G$8/$E$8)*$B$3</f>
        <v>707.9920135</v>
      </c>
      <c r="I20">
        <f>MAX(H20,I19*(1-$B$5))</f>
        <v>707.9920135</v>
      </c>
    </row>
    <row r="21">
      <c r="A21">
        <v>2038</v>
      </c>
      <c r="B21">
        <f>'Efficiency Overlay'!P5+'Efficiency Overlay'!P7*$B$4</f>
        <v>16709.13265</v>
      </c>
      <c r="C21">
        <v>0</v>
      </c>
      <c r="D21">
        <v>129.3266667</v>
      </c>
      <c r="E21">
        <v>48.57142857</v>
      </c>
      <c r="F21">
        <f>(2*(1-C21)+6*C21)*D21*1000000000</f>
        <v>2.586533333e+11</v>
      </c>
      <c r="G21">
        <f>B21*1000000000000*F21</f>
        <v>4.321872856e+27</v>
      </c>
      <c r="H21">
        <f>(G21/E21)/($G$8/$E$8)*$B$3</f>
        <v>698.9875558</v>
      </c>
      <c r="I21">
        <f>MAX(H21,I20*(1-$B$5))</f>
        <v>707.9920135</v>
      </c>
    </row>
    <row r="22">
      <c r="A22">
        <v>2039</v>
      </c>
      <c r="B22">
        <f>'Efficiency Overlay'!Q5+'Efficiency Overlay'!Q7*$B$4</f>
        <v>18373.44515</v>
      </c>
      <c r="C22">
        <v>0</v>
      </c>
      <c r="D22">
        <v>116.4133333</v>
      </c>
      <c r="E22">
        <v>51.42857143</v>
      </c>
      <c r="F22">
        <f>(2*(1-C22)+6*C22)*D22*1000000000</f>
        <v>2.328266667e+11</v>
      </c>
      <c r="G22">
        <f>B22*1000000000000*F22</f>
        <v>4.27782799e+27</v>
      </c>
      <c r="H22">
        <f>(G22/E22)/($G$8/$E$8)*$B$3</f>
        <v>653.4271742</v>
      </c>
      <c r="I22">
        <f>MAX(H22,I21*(1-$B$5))</f>
        <v>707.9920135</v>
      </c>
    </row>
    <row r="23">
      <c r="A23">
        <v>2040</v>
      </c>
      <c r="B23">
        <f>'Efficiency Overlay'!R5+'Efficiency Overlay'!R7*$B$4</f>
        <v>20019.81107</v>
      </c>
      <c r="C23">
        <v>0</v>
      </c>
      <c r="D23">
        <v>103.5</v>
      </c>
      <c r="E23">
        <v>54.28571429</v>
      </c>
      <c r="F23">
        <f>(2*(1-C23)+6*C23)*D23*1000000000</f>
        <v>2.07e+11</v>
      </c>
      <c r="G23">
        <f>B23*1000000000000*F23</f>
        <v>4.144100891e+27</v>
      </c>
      <c r="H23">
        <f>(G23/E23)/($G$8/$E$8)*$B$3</f>
        <v>599.6848788</v>
      </c>
      <c r="I23">
        <f>MAX(H23,I22*(1-$B$5))</f>
        <v>707.9920135</v>
      </c>
    </row>
    <row r="24">
      <c r="A24">
        <v>2041</v>
      </c>
      <c r="B24">
        <f>'Efficiency Overlay'!S5+'Efficiency Overlay'!S7*$B$4</f>
        <v>21860.12394</v>
      </c>
      <c r="C24">
        <v>0</v>
      </c>
      <c r="D24">
        <v>103.5</v>
      </c>
      <c r="E24">
        <v>57.14285714</v>
      </c>
      <c r="F24">
        <f>(2*(1-C24)+6*C24)*D24*1000000000</f>
        <v>2.07e+11</v>
      </c>
      <c r="G24">
        <f>B24*1000000000000*F24</f>
        <v>4.525045655e+27</v>
      </c>
      <c r="H24">
        <f>(G24/E24)/($G$8/$E$8)*$B$3</f>
        <v>622.0701305</v>
      </c>
      <c r="I24">
        <f>MAX(H24,I23*(1-$B$5))</f>
        <v>707.9920135</v>
      </c>
    </row>
    <row r="25">
      <c r="A25">
        <v>2042</v>
      </c>
      <c r="B25">
        <f>'Efficiency Overlay'!T5+'Efficiency Overlay'!T7*$B$4</f>
        <v>23789.68866</v>
      </c>
      <c r="C25">
        <v>0</v>
      </c>
      <c r="D25">
        <v>103.5</v>
      </c>
      <c r="E25">
        <v>60</v>
      </c>
      <c r="F25">
        <f>(2*(1-C25)+6*C25)*D25*1000000000</f>
        <v>2.07e+11</v>
      </c>
      <c r="G25">
        <f>B25*1000000000000*F25</f>
        <v>4.924465553e+27</v>
      </c>
      <c r="H25">
        <f>(G25/E25)/($G$8/$E$8)*$B$3</f>
        <v>644.7423355</v>
      </c>
      <c r="I25">
        <f>MAX(H25,I24*(1-$B$5))</f>
        <v>707.9920135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dimension ref="A1:D51"/>
  <sheetViews>
    <sheetView workbookViewId="0"/>
  </sheetViews>
  <sheetFormatPr defaultRowHeight="15"/>
  <cols>
    <col min="1" max="1" width="52"/>
    <col min="2" max="4" width="18"/>
  </cols>
  <sheetData>
    <row r="1">
      <c r="A1" s="47" t="inlineStr">
        <is>
          <t>AI POWER DEMAND  —  THE DURATION LENS</t>
        </is>
      </c>
    </row>
    <row r="2">
      <c r="A2" t="inlineStr">
        <is>
          <t>Token base (committed headline) vs the FLOPs lens. A token's power cost varies ~50x by model, so convert tokens -&gt; FLOPs -&gt; power. Live mechanics + stress-test inputs are on the 'FLOPs to Power' tab.</t>
        </is>
      </c>
    </row>
    <row r="4">
      <c r="A4" s="47" t="inlineStr">
        <is>
          <t>1. THE QUESTION</t>
        </is>
      </c>
    </row>
    <row r="5">
      <c r="A5" t="inlineStr">
        <is>
          <t>How big does AI power demand get, and how long does the shortage last? FLOPs/token = 2 x active params; that is the honest power unit a token-count model cannot see (routing/orchestration moves it).</t>
        </is>
      </c>
    </row>
    <row r="7">
      <c r="A7" s="47" t="inlineStr">
        <is>
          <t>2. THE CONVERSION  (one row = one year; full live version on 'FLOPs to Power')</t>
        </is>
      </c>
    </row>
    <row r="8">
      <c r="A8" s="47" t="inlineStr">
        <is>
          <t>step</t>
        </is>
      </c>
      <c r="B8" s="47" t="inlineStr">
        <is>
          <t>2025</t>
        </is>
      </c>
      <c r="C8" s="47" t="inlineStr">
        <is>
          <t>2035</t>
        </is>
      </c>
    </row>
    <row r="9">
      <c r="A9" t="inlineStr">
        <is>
          <t>tokens/day (T)</t>
        </is>
      </c>
      <c r="B9">
        <f>'FLOPs to Power'!B8</f>
        <v>134.9222</v>
      </c>
      <c r="C9">
        <f>'FLOPs to Power'!B18</f>
        <v>10620.445661620677</v>
      </c>
    </row>
    <row r="10">
      <c r="A10" t="inlineStr">
        <is>
          <t>x  FLOPs per token (2 x N_active)</t>
        </is>
      </c>
      <c r="B10">
        <f>'FLOPs to Power'!F8</f>
        <v>594400000000.0</v>
      </c>
      <c r="C10">
        <f>'FLOPs to Power'!F18</f>
        <v>336133333333.3334</v>
      </c>
    </row>
    <row r="11">
      <c r="A11" t="inlineStr">
        <is>
          <t>-&gt;  FLOPs per day</t>
        </is>
      </c>
      <c r="B11">
        <f>'FLOPs to Power'!G8</f>
        <v>8.019775568e+25</v>
      </c>
      <c r="C11">
        <f>'FLOPs to Power'!G18</f>
        <v>3.569885801726098e+27</v>
      </c>
    </row>
    <row r="12">
      <c r="A12" t="inlineStr">
        <is>
          <t>/  chip efficiency (TFLOP per W)</t>
        </is>
      </c>
      <c r="B12">
        <f>'FLOPs to Power'!E8</f>
        <v>9.0</v>
      </c>
      <c r="C12">
        <f>'FLOPs to Power'!E18</f>
        <v>40.0</v>
      </c>
    </row>
    <row r="13">
      <c r="A13" t="inlineStr">
        <is>
          <t>-&gt;  power (GW)</t>
        </is>
      </c>
      <c r="B13">
        <f>'FLOPs to Power'!I8</f>
        <v>70.0</v>
      </c>
      <c r="C13">
        <f>'FLOPs to Power'!I18</f>
        <v>701.0882150060941</v>
      </c>
    </row>
    <row r="15">
      <c r="A15" s="47" t="inlineStr">
        <is>
          <t>3. THE TUG-OF-WAR  (why power grows ~10x, not ~176x)</t>
        </is>
      </c>
    </row>
    <row r="16">
      <c r="A16" t="inlineStr">
        <is>
          <t>Tokens grow ~176x to 2042. But model size N falls ~3x (routing to smaller models) and chip TFLOP/W rises ~7x. Together they absorb most of it, so power grows ~10x.</t>
        </is>
      </c>
    </row>
    <row r="18">
      <c r="A18" s="47" t="inlineStr">
        <is>
          <t>4. TOKEN BASE  vs  FLOPs LENS</t>
        </is>
      </c>
    </row>
    <row r="19">
      <c r="A19" s="47" t="inlineStr">
        <is>
          <t>metric</t>
        </is>
      </c>
      <c r="B19" s="47" t="inlineStr">
        <is>
          <t>Token base</t>
        </is>
      </c>
      <c r="C19" s="47" t="inlineStr">
        <is>
          <t>FLOPs lens</t>
        </is>
      </c>
    </row>
    <row r="20">
      <c r="A20" t="inlineStr">
        <is>
          <t>Peak gap (GW)</t>
        </is>
      </c>
      <c r="B20">
        <v>332</v>
      </c>
      <c r="C20">
        <v>278</v>
      </c>
    </row>
    <row r="21">
      <c r="A21" t="inlineStr">
        <is>
          <t>Peak year</t>
        </is>
      </c>
      <c r="B21">
        <v>2029</v>
      </c>
      <c r="C21">
        <v>2031</v>
      </c>
    </row>
    <row r="22">
      <c r="A22" t="inlineStr">
        <is>
          <t>Demand floor 2042 (GW)</t>
        </is>
      </c>
      <c r="B22">
        <v>549</v>
      </c>
      <c r="C22">
        <f>ROUND('FLOPs to Power'!I25,0)</f>
        <v>708</v>
      </c>
    </row>
    <row r="23">
      <c r="A23" t="inlineStr">
        <is>
          <t>Gap closes (overshoot)</t>
        </is>
      </c>
      <c r="B23">
        <v>2034</v>
      </c>
      <c r="C23">
        <v>2036</v>
      </c>
    </row>
    <row r="24">
      <c r="A24" t="inlineStr">
        <is>
          <t>Read</t>
        </is>
      </c>
      <c r="B24" t="inlineStr">
        <is>
          <t>timing / peak</t>
        </is>
      </c>
      <c r="C24" t="inlineStr">
        <is>
          <t>duration / higher floor</t>
        </is>
      </c>
    </row>
    <row r="26">
      <c r="A26" s="47" t="inlineStr">
        <is>
          <t>5. CHART THIS  (select A27:D45, then Insert &gt; Line Chart)</t>
        </is>
      </c>
    </row>
    <row r="27">
      <c r="A27" s="47" t="inlineStr">
        <is>
          <t>year</t>
        </is>
      </c>
      <c r="B27" s="47" t="inlineStr">
        <is>
          <t>Token demand (GW)</t>
        </is>
      </c>
      <c r="C27" s="47" t="inlineStr">
        <is>
          <t>FLOPs demand (GW)</t>
        </is>
      </c>
      <c r="D27" s="47" t="inlineStr">
        <is>
          <t>Supply (GW)</t>
        </is>
      </c>
    </row>
    <row r="28">
      <c r="A28">
        <v>2025</v>
      </c>
      <c r="B28">
        <v>70.0</v>
      </c>
      <c r="C28">
        <f>ROUND('FLOPs to Power'!I8,1)</f>
        <v>70.0</v>
      </c>
      <c r="D28">
        <v>70.0</v>
      </c>
    </row>
    <row r="29">
      <c r="A29">
        <v>2026</v>
      </c>
      <c r="B29">
        <v>219.2</v>
      </c>
      <c r="C29">
        <f>ROUND('FLOPs to Power'!I9,1)</f>
        <v>187.1</v>
      </c>
      <c r="D29">
        <v>85.4</v>
      </c>
    </row>
    <row r="30">
      <c r="A30">
        <v>2027</v>
      </c>
      <c r="B30">
        <v>305.7</v>
      </c>
      <c r="C30">
        <f>ROUND('FLOPs to Power'!I10,1)</f>
        <v>232.6</v>
      </c>
      <c r="D30">
        <v>104.2</v>
      </c>
    </row>
    <row r="31">
      <c r="A31">
        <v>2028</v>
      </c>
      <c r="B31">
        <v>427.0</v>
      </c>
      <c r="C31">
        <f>ROUND('FLOPs to Power'!I11,1)</f>
        <v>306.8</v>
      </c>
      <c r="D31">
        <v>135.4</v>
      </c>
    </row>
    <row r="32">
      <c r="A32">
        <v>2029</v>
      </c>
      <c r="B32">
        <v>508.5</v>
      </c>
      <c r="C32">
        <f>ROUND('FLOPs to Power'!I12,1)</f>
        <v>389.9</v>
      </c>
      <c r="D32">
        <v>176.1</v>
      </c>
    </row>
    <row r="33">
      <c r="A33">
        <v>2030</v>
      </c>
      <c r="B33">
        <v>548.9</v>
      </c>
      <c r="C33">
        <f>ROUND('FLOPs to Power'!I13,1)</f>
        <v>475.7</v>
      </c>
      <c r="D33">
        <v>228.9</v>
      </c>
    </row>
    <row r="34">
      <c r="A34">
        <v>2031</v>
      </c>
      <c r="B34">
        <v>548.9</v>
      </c>
      <c r="C34">
        <f>ROUND('FLOPs to Power'!I14,1)</f>
        <v>563.8</v>
      </c>
      <c r="D34">
        <v>286.1</v>
      </c>
    </row>
    <row r="35">
      <c r="A35">
        <v>2032</v>
      </c>
      <c r="B35">
        <v>548.9</v>
      </c>
      <c r="C35">
        <f>ROUND('FLOPs to Power'!I15,1)</f>
        <v>618.5</v>
      </c>
      <c r="D35">
        <v>357.7</v>
      </c>
    </row>
    <row r="36">
      <c r="A36">
        <v>2033</v>
      </c>
      <c r="B36">
        <v>548.9</v>
      </c>
      <c r="C36">
        <f>ROUND('FLOPs to Power'!I16,1)</f>
        <v>657.2</v>
      </c>
      <c r="D36">
        <v>447.1</v>
      </c>
    </row>
    <row r="37">
      <c r="A37">
        <v>2034</v>
      </c>
      <c r="B37">
        <v>548.9</v>
      </c>
      <c r="C37">
        <f>ROUND('FLOPs to Power'!I17,1)</f>
        <v>691.5</v>
      </c>
      <c r="D37">
        <v>558.8</v>
      </c>
    </row>
    <row r="38">
      <c r="A38">
        <v>2035</v>
      </c>
      <c r="B38">
        <v>548.9</v>
      </c>
      <c r="C38">
        <f>ROUND('FLOPs to Power'!I18,1)</f>
        <v>701.1</v>
      </c>
      <c r="D38">
        <v>698.6</v>
      </c>
    </row>
    <row r="39">
      <c r="A39">
        <v>2036</v>
      </c>
      <c r="B39">
        <v>548.9</v>
      </c>
      <c r="C39">
        <f>ROUND('FLOPs to Power'!I19,1)</f>
        <v>707.2</v>
      </c>
      <c r="D39">
        <v>803.3</v>
      </c>
    </row>
    <row r="40">
      <c r="A40">
        <v>2037</v>
      </c>
      <c r="B40">
        <v>548.9</v>
      </c>
      <c r="C40">
        <f>ROUND('FLOPs to Power'!I20,1)</f>
        <v>708.0</v>
      </c>
      <c r="D40">
        <v>923.8</v>
      </c>
    </row>
    <row r="41">
      <c r="A41">
        <v>2038</v>
      </c>
      <c r="B41">
        <v>548.9</v>
      </c>
      <c r="C41">
        <f>ROUND('FLOPs to Power'!I21,1)</f>
        <v>708.0</v>
      </c>
      <c r="D41">
        <v>1062.4</v>
      </c>
    </row>
    <row r="42">
      <c r="A42">
        <v>2039</v>
      </c>
      <c r="B42">
        <v>548.9</v>
      </c>
      <c r="C42">
        <f>ROUND('FLOPs to Power'!I22,1)</f>
        <v>708.0</v>
      </c>
      <c r="D42">
        <v>1221.8</v>
      </c>
    </row>
    <row r="43">
      <c r="A43">
        <v>2040</v>
      </c>
      <c r="B43">
        <v>548.9</v>
      </c>
      <c r="C43">
        <f>ROUND('FLOPs to Power'!I23,1)</f>
        <v>708.0</v>
      </c>
      <c r="D43">
        <v>1405.0</v>
      </c>
    </row>
    <row r="44">
      <c r="A44">
        <v>2041</v>
      </c>
      <c r="B44">
        <v>548.9</v>
      </c>
      <c r="C44">
        <f>ROUND('FLOPs to Power'!I24,1)</f>
        <v>708.0</v>
      </c>
      <c r="D44">
        <v>1615.8</v>
      </c>
    </row>
    <row r="45">
      <c r="A45">
        <v>2042</v>
      </c>
      <c r="B45">
        <v>548.9</v>
      </c>
      <c r="C45">
        <f>ROUND('FLOPs to Power'!I25,1)</f>
        <v>708.0</v>
      </c>
      <c r="D45">
        <v>1858.2</v>
      </c>
    </row>
    <row r="47">
      <c r="A47" s="47" t="inlineStr">
        <is>
          <t>6. STRESS-TEST IT</t>
        </is>
      </c>
    </row>
    <row r="48">
      <c r="A48" t="inlineStr">
        <is>
          <t>Edit inputs on 'FLOPs to Power' (anchor, training share, N, TFLOP/W, retirement) — the FLOPs column above and this chart's FLOPs line update live. Broader levers on 'Macro Levers'.</t>
        </is>
      </c>
    </row>
    <row r="50">
      <c r="A50" s="47" t="inlineStr">
        <is>
          <t>7. THE TAKEAWAY</t>
        </is>
      </c>
    </row>
    <row r="51">
      <c r="A51" t="inlineStr">
        <is>
          <t>The FLOPs lens does NOT raise the peak (~278 vs 332). It raises the FLOOR (~708 vs 549, +29%) and extends the TIGHTNESS (gap closes ~2036 vs 2034). The power/grid/cooling case is about DURATION, not magnitude.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