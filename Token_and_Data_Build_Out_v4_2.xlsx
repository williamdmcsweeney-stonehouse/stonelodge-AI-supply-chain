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9b619511abba94e/Documentos/Investments/AI/"/>
    </mc:Choice>
  </mc:AlternateContent>
  <xr:revisionPtr revIDLastSave="0" documentId="8_{7B4905CA-AD0A-4397-AB1D-CC66CC971276}" xr6:coauthVersionLast="47" xr6:coauthVersionMax="47" xr10:uidLastSave="{00000000-0000-0000-0000-000000000000}"/>
  <bookViews>
    <workbookView xWindow="28690" yWindow="-110" windowWidth="29020" windowHeight="15700" tabRatio="500" activeTab="1" xr2:uid="{00000000-000D-0000-FFFF-FFFF00000000}"/>
  </bookViews>
  <sheets>
    <sheet name="Summary" sheetId="1" r:id="rId1"/>
    <sheet name="Efficiency Overlay" sheetId="2" r:id="rId2"/>
    <sheet name="Base" sheetId="3" r:id="rId3"/>
    <sheet name="Robo Bull" sheetId="4" r:id="rId4"/>
    <sheet name="Bear" sheetId="5" r:id="rId5"/>
    <sheet name="Macro Levers" sheetId="6" r:id="rId10"/>
    <sheet name="FLOPs to Power" sheetId="7" r:id="rId11"/>
    <sheet name="Duration Lens" sheetId="8" r:id="rId12"/>
    <sheet name="Operating Model" sheetId="9" r:id="rId1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5" i="5" l="1"/>
  <c r="D65" i="5" s="1"/>
  <c r="E65" i="5" s="1"/>
  <c r="F65" i="5" s="1"/>
  <c r="G65" i="5" s="1"/>
  <c r="H65" i="5" s="1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F64" i="5"/>
  <c r="G64" i="5" s="1"/>
  <c r="H64" i="5" s="1"/>
  <c r="I64" i="5" s="1"/>
  <c r="J64" i="5" s="1"/>
  <c r="K64" i="5" s="1"/>
  <c r="L64" i="5" s="1"/>
  <c r="M64" i="5" s="1"/>
  <c r="N64" i="5" s="1"/>
  <c r="O64" i="5" s="1"/>
  <c r="P64" i="5" s="1"/>
  <c r="Q64" i="5" s="1"/>
  <c r="R64" i="5" s="1"/>
  <c r="S64" i="5" s="1"/>
  <c r="E64" i="5"/>
  <c r="D64" i="5"/>
  <c r="C64" i="5"/>
  <c r="G63" i="5"/>
  <c r="H63" i="5" s="1"/>
  <c r="I63" i="5" s="1"/>
  <c r="J63" i="5" s="1"/>
  <c r="K63" i="5" s="1"/>
  <c r="L63" i="5" s="1"/>
  <c r="M63" i="5" s="1"/>
  <c r="N63" i="5" s="1"/>
  <c r="O63" i="5" s="1"/>
  <c r="P63" i="5" s="1"/>
  <c r="Q63" i="5" s="1"/>
  <c r="R63" i="5" s="1"/>
  <c r="S63" i="5" s="1"/>
  <c r="F63" i="5"/>
  <c r="C63" i="5"/>
  <c r="D63" i="5" s="1"/>
  <c r="E63" i="5" s="1"/>
  <c r="C62" i="5"/>
  <c r="D62" i="5" s="1"/>
  <c r="E62" i="5" s="1"/>
  <c r="F62" i="5" s="1"/>
  <c r="G62" i="5" s="1"/>
  <c r="H62" i="5" s="1"/>
  <c r="I62" i="5" s="1"/>
  <c r="J62" i="5" s="1"/>
  <c r="K62" i="5" s="1"/>
  <c r="L62" i="5" s="1"/>
  <c r="M62" i="5" s="1"/>
  <c r="N62" i="5" s="1"/>
  <c r="O62" i="5" s="1"/>
  <c r="P62" i="5" s="1"/>
  <c r="Q62" i="5" s="1"/>
  <c r="R62" i="5" s="1"/>
  <c r="S62" i="5" s="1"/>
  <c r="K61" i="5"/>
  <c r="L61" i="5" s="1"/>
  <c r="M61" i="5" s="1"/>
  <c r="N61" i="5" s="1"/>
  <c r="O61" i="5" s="1"/>
  <c r="P61" i="5" s="1"/>
  <c r="Q61" i="5" s="1"/>
  <c r="R61" i="5" s="1"/>
  <c r="S61" i="5" s="1"/>
  <c r="J61" i="5"/>
  <c r="D61" i="5"/>
  <c r="E61" i="5" s="1"/>
  <c r="F61" i="5" s="1"/>
  <c r="G61" i="5" s="1"/>
  <c r="H61" i="5" s="1"/>
  <c r="I61" i="5" s="1"/>
  <c r="C61" i="5"/>
  <c r="K60" i="5"/>
  <c r="L60" i="5" s="1"/>
  <c r="M60" i="5" s="1"/>
  <c r="C60" i="5"/>
  <c r="D60" i="5" s="1"/>
  <c r="E60" i="5" s="1"/>
  <c r="F60" i="5" s="1"/>
  <c r="G60" i="5" s="1"/>
  <c r="H60" i="5" s="1"/>
  <c r="I60" i="5" s="1"/>
  <c r="J60" i="5" s="1"/>
  <c r="N59" i="5"/>
  <c r="O59" i="5" s="1"/>
  <c r="D59" i="5"/>
  <c r="C59" i="5"/>
  <c r="B58" i="5"/>
  <c r="B11" i="5" s="1"/>
  <c r="Q55" i="5"/>
  <c r="P55" i="5"/>
  <c r="O55" i="5"/>
  <c r="N55" i="5"/>
  <c r="M55" i="5"/>
  <c r="K55" i="5"/>
  <c r="I55" i="5"/>
  <c r="G55" i="5"/>
  <c r="F55" i="5"/>
  <c r="E55" i="5"/>
  <c r="D55" i="5"/>
  <c r="C55" i="5"/>
  <c r="B55" i="5"/>
  <c r="R54" i="5"/>
  <c r="P54" i="5"/>
  <c r="N54" i="5"/>
  <c r="L54" i="5"/>
  <c r="J54" i="5"/>
  <c r="H54" i="5"/>
  <c r="R53" i="5"/>
  <c r="P53" i="5"/>
  <c r="N53" i="5"/>
  <c r="L53" i="5"/>
  <c r="J53" i="5"/>
  <c r="H53" i="5"/>
  <c r="R52" i="5"/>
  <c r="P52" i="5"/>
  <c r="N52" i="5"/>
  <c r="L52" i="5"/>
  <c r="J52" i="5"/>
  <c r="H52" i="5"/>
  <c r="R51" i="5"/>
  <c r="P51" i="5"/>
  <c r="N51" i="5"/>
  <c r="L51" i="5"/>
  <c r="J51" i="5"/>
  <c r="H51" i="5"/>
  <c r="S50" i="5"/>
  <c r="S55" i="5" s="1"/>
  <c r="R50" i="5"/>
  <c r="O50" i="5"/>
  <c r="P50" i="5" s="1"/>
  <c r="Q50" i="5" s="1"/>
  <c r="L50" i="5"/>
  <c r="J50" i="5"/>
  <c r="H50" i="5"/>
  <c r="R49" i="5"/>
  <c r="P49" i="5"/>
  <c r="N49" i="5"/>
  <c r="L49" i="5"/>
  <c r="J49" i="5"/>
  <c r="H49" i="5"/>
  <c r="R48" i="5"/>
  <c r="P48" i="5"/>
  <c r="N48" i="5"/>
  <c r="L48" i="5"/>
  <c r="L55" i="5" s="1"/>
  <c r="J48" i="5"/>
  <c r="H48" i="5"/>
  <c r="D42" i="5"/>
  <c r="E42" i="5" s="1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C42" i="5"/>
  <c r="C39" i="5"/>
  <c r="D39" i="5" s="1"/>
  <c r="B38" i="5"/>
  <c r="C34" i="5"/>
  <c r="C33" i="5" s="1"/>
  <c r="C23" i="5" s="1"/>
  <c r="C22" i="5" s="1"/>
  <c r="S33" i="5"/>
  <c r="R33" i="5"/>
  <c r="Q33" i="5"/>
  <c r="P33" i="5"/>
  <c r="G32" i="5"/>
  <c r="H32" i="5" s="1"/>
  <c r="I32" i="5" s="1"/>
  <c r="J32" i="5" s="1"/>
  <c r="K32" i="5" s="1"/>
  <c r="E32" i="5"/>
  <c r="F32" i="5" s="1"/>
  <c r="C32" i="5"/>
  <c r="D32" i="5" s="1"/>
  <c r="G31" i="5"/>
  <c r="F31" i="5"/>
  <c r="C31" i="5"/>
  <c r="D31" i="5" s="1"/>
  <c r="E31" i="5" s="1"/>
  <c r="C28" i="5"/>
  <c r="D28" i="5" s="1"/>
  <c r="S23" i="5"/>
  <c r="R23" i="5"/>
  <c r="Q23" i="5"/>
  <c r="P23" i="5"/>
  <c r="B23" i="5"/>
  <c r="B22" i="5"/>
  <c r="E5" i="5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D5" i="5"/>
  <c r="B5" i="5"/>
  <c r="K4" i="5"/>
  <c r="L4" i="5" s="1"/>
  <c r="M4" i="5" s="1"/>
  <c r="N4" i="5" s="1"/>
  <c r="O4" i="5" s="1"/>
  <c r="P4" i="5" s="1"/>
  <c r="Q4" i="5" s="1"/>
  <c r="R4" i="5" s="1"/>
  <c r="S4" i="5" s="1"/>
  <c r="C4" i="5"/>
  <c r="D4" i="5" s="1"/>
  <c r="E4" i="5" s="1"/>
  <c r="F4" i="5" s="1"/>
  <c r="G4" i="5" s="1"/>
  <c r="H4" i="5" s="1"/>
  <c r="I4" i="5" s="1"/>
  <c r="J4" i="5" s="1"/>
  <c r="B3" i="5"/>
  <c r="D2" i="5"/>
  <c r="C2" i="5"/>
  <c r="D1" i="5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C65" i="4"/>
  <c r="D65" i="4" s="1"/>
  <c r="E65" i="4" s="1"/>
  <c r="F65" i="4" s="1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D64" i="4"/>
  <c r="E64" i="4" s="1"/>
  <c r="F64" i="4" s="1"/>
  <c r="G64" i="4" s="1"/>
  <c r="H64" i="4" s="1"/>
  <c r="I64" i="4" s="1"/>
  <c r="J64" i="4" s="1"/>
  <c r="K64" i="4" s="1"/>
  <c r="L64" i="4" s="1"/>
  <c r="M64" i="4" s="1"/>
  <c r="N64" i="4" s="1"/>
  <c r="O64" i="4" s="1"/>
  <c r="P64" i="4" s="1"/>
  <c r="Q64" i="4" s="1"/>
  <c r="R64" i="4" s="1"/>
  <c r="S64" i="4" s="1"/>
  <c r="C64" i="4"/>
  <c r="C63" i="4"/>
  <c r="D63" i="4" s="1"/>
  <c r="E63" i="4" s="1"/>
  <c r="F63" i="4" s="1"/>
  <c r="G63" i="4" s="1"/>
  <c r="H63" i="4" s="1"/>
  <c r="I63" i="4" s="1"/>
  <c r="J63" i="4" s="1"/>
  <c r="K63" i="4" s="1"/>
  <c r="L63" i="4" s="1"/>
  <c r="M63" i="4" s="1"/>
  <c r="N63" i="4" s="1"/>
  <c r="O63" i="4" s="1"/>
  <c r="P63" i="4" s="1"/>
  <c r="Q63" i="4" s="1"/>
  <c r="R63" i="4" s="1"/>
  <c r="S63" i="4" s="1"/>
  <c r="C62" i="4"/>
  <c r="D61" i="4"/>
  <c r="C61" i="4"/>
  <c r="H60" i="4"/>
  <c r="I60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G60" i="4"/>
  <c r="F60" i="4"/>
  <c r="C60" i="4"/>
  <c r="D60" i="4" s="1"/>
  <c r="E60" i="4" s="1"/>
  <c r="O59" i="4"/>
  <c r="N59" i="4"/>
  <c r="E59" i="4"/>
  <c r="D59" i="4"/>
  <c r="C59" i="4"/>
  <c r="B58" i="4"/>
  <c r="E55" i="4"/>
  <c r="D55" i="4"/>
  <c r="C55" i="4"/>
  <c r="B55" i="4"/>
  <c r="R54" i="4"/>
  <c r="P54" i="4"/>
  <c r="N54" i="4"/>
  <c r="L54" i="4"/>
  <c r="J54" i="4"/>
  <c r="H54" i="4"/>
  <c r="R53" i="4"/>
  <c r="P53" i="4"/>
  <c r="N53" i="4"/>
  <c r="L53" i="4"/>
  <c r="J53" i="4"/>
  <c r="H53" i="4"/>
  <c r="R52" i="4"/>
  <c r="P52" i="4"/>
  <c r="N52" i="4"/>
  <c r="L52" i="4"/>
  <c r="J52" i="4"/>
  <c r="H52" i="4"/>
  <c r="R51" i="4"/>
  <c r="P51" i="4"/>
  <c r="N51" i="4"/>
  <c r="L51" i="4"/>
  <c r="J51" i="4"/>
  <c r="H51" i="4"/>
  <c r="F50" i="4"/>
  <c r="R49" i="4"/>
  <c r="P49" i="4"/>
  <c r="N49" i="4"/>
  <c r="L49" i="4"/>
  <c r="J49" i="4"/>
  <c r="H49" i="4"/>
  <c r="R48" i="4"/>
  <c r="P48" i="4"/>
  <c r="N48" i="4"/>
  <c r="L48" i="4"/>
  <c r="J48" i="4"/>
  <c r="H48" i="4"/>
  <c r="C42" i="4"/>
  <c r="D42" i="4" s="1"/>
  <c r="E42" i="4" s="1"/>
  <c r="F42" i="4" s="1"/>
  <c r="G42" i="4" s="1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E40" i="4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D40" i="4"/>
  <c r="B40" i="4"/>
  <c r="C40" i="4" s="1"/>
  <c r="C38" i="4" s="1"/>
  <c r="E39" i="4"/>
  <c r="D39" i="4"/>
  <c r="C39" i="4"/>
  <c r="B38" i="4"/>
  <c r="C34" i="4"/>
  <c r="D34" i="4" s="1"/>
  <c r="E34" i="4" s="1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S33" i="4" s="1"/>
  <c r="C32" i="4"/>
  <c r="C33" i="4" s="1"/>
  <c r="D31" i="4"/>
  <c r="C31" i="4"/>
  <c r="C28" i="4"/>
  <c r="C23" i="4" s="1"/>
  <c r="C22" i="4" s="1"/>
  <c r="B23" i="4"/>
  <c r="B22" i="4"/>
  <c r="C19" i="4"/>
  <c r="B11" i="4"/>
  <c r="C9" i="4"/>
  <c r="B9" i="4"/>
  <c r="G5" i="4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F5" i="4"/>
  <c r="D5" i="4"/>
  <c r="E5" i="4" s="1"/>
  <c r="B5" i="4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E4" i="4"/>
  <c r="C4" i="4"/>
  <c r="D4" i="4" s="1"/>
  <c r="M3" i="4"/>
  <c r="N3" i="4" s="1"/>
  <c r="O3" i="4" s="1"/>
  <c r="P3" i="4" s="1"/>
  <c r="Q3" i="4" s="1"/>
  <c r="R3" i="4" s="1"/>
  <c r="S3" i="4" s="1"/>
  <c r="L3" i="4"/>
  <c r="E3" i="4"/>
  <c r="D3" i="4"/>
  <c r="C3" i="4"/>
  <c r="B3" i="4"/>
  <c r="D2" i="4"/>
  <c r="E2" i="4" s="1"/>
  <c r="F2" i="4" s="1"/>
  <c r="C2" i="4"/>
  <c r="F1" i="4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D1" i="4"/>
  <c r="E1" i="4" s="1"/>
  <c r="D65" i="3"/>
  <c r="E65" i="3" s="1"/>
  <c r="F65" i="3" s="1"/>
  <c r="G65" i="3" s="1"/>
  <c r="H65" i="3" s="1"/>
  <c r="I65" i="3" s="1"/>
  <c r="J65" i="3" s="1"/>
  <c r="K65" i="3" s="1"/>
  <c r="L65" i="3" s="1"/>
  <c r="M65" i="3" s="1"/>
  <c r="N65" i="3" s="1"/>
  <c r="O65" i="3" s="1"/>
  <c r="P65" i="3" s="1"/>
  <c r="Q65" i="3" s="1"/>
  <c r="R65" i="3" s="1"/>
  <c r="S65" i="3" s="1"/>
  <c r="C65" i="3"/>
  <c r="C64" i="3"/>
  <c r="D64" i="3" s="1"/>
  <c r="E64" i="3" s="1"/>
  <c r="F64" i="3" s="1"/>
  <c r="G64" i="3" s="1"/>
  <c r="H64" i="3" s="1"/>
  <c r="I64" i="3" s="1"/>
  <c r="J64" i="3" s="1"/>
  <c r="K64" i="3" s="1"/>
  <c r="L64" i="3" s="1"/>
  <c r="M64" i="3" s="1"/>
  <c r="N64" i="3" s="1"/>
  <c r="O64" i="3" s="1"/>
  <c r="P64" i="3" s="1"/>
  <c r="Q64" i="3" s="1"/>
  <c r="R64" i="3" s="1"/>
  <c r="S64" i="3" s="1"/>
  <c r="C63" i="3"/>
  <c r="D63" i="3" s="1"/>
  <c r="E63" i="3" s="1"/>
  <c r="F63" i="3" s="1"/>
  <c r="G63" i="3" s="1"/>
  <c r="H63" i="3" s="1"/>
  <c r="I63" i="3" s="1"/>
  <c r="J63" i="3" s="1"/>
  <c r="K63" i="3" s="1"/>
  <c r="L63" i="3" s="1"/>
  <c r="M63" i="3" s="1"/>
  <c r="N63" i="3" s="1"/>
  <c r="O63" i="3" s="1"/>
  <c r="P63" i="3" s="1"/>
  <c r="Q63" i="3" s="1"/>
  <c r="R63" i="3" s="1"/>
  <c r="S63" i="3" s="1"/>
  <c r="H62" i="3"/>
  <c r="I62" i="3" s="1"/>
  <c r="J62" i="3" s="1"/>
  <c r="K62" i="3" s="1"/>
  <c r="L62" i="3" s="1"/>
  <c r="M62" i="3" s="1"/>
  <c r="N62" i="3" s="1"/>
  <c r="O62" i="3" s="1"/>
  <c r="P62" i="3" s="1"/>
  <c r="Q62" i="3" s="1"/>
  <c r="R62" i="3" s="1"/>
  <c r="S62" i="3" s="1"/>
  <c r="G62" i="3"/>
  <c r="E62" i="3"/>
  <c r="F62" i="3" s="1"/>
  <c r="D62" i="3"/>
  <c r="C62" i="3"/>
  <c r="C61" i="3"/>
  <c r="D61" i="3" s="1"/>
  <c r="E61" i="3" s="1"/>
  <c r="F61" i="3" s="1"/>
  <c r="G61" i="3" s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S61" i="3" s="1"/>
  <c r="C60" i="3"/>
  <c r="D60" i="3" s="1"/>
  <c r="E60" i="3" s="1"/>
  <c r="F60" i="3" s="1"/>
  <c r="G60" i="3" s="1"/>
  <c r="H60" i="3" s="1"/>
  <c r="I60" i="3" s="1"/>
  <c r="J60" i="3" s="1"/>
  <c r="K60" i="3" s="1"/>
  <c r="L60" i="3" s="1"/>
  <c r="M60" i="3" s="1"/>
  <c r="Q59" i="3"/>
  <c r="P59" i="3"/>
  <c r="O59" i="3"/>
  <c r="N59" i="3"/>
  <c r="C59" i="3"/>
  <c r="B58" i="3"/>
  <c r="B11" i="3" s="1"/>
  <c r="S55" i="3"/>
  <c r="R55" i="3"/>
  <c r="Q55" i="3"/>
  <c r="P55" i="3"/>
  <c r="O55" i="3"/>
  <c r="M55" i="3"/>
  <c r="K55" i="3"/>
  <c r="I55" i="3"/>
  <c r="G55" i="3"/>
  <c r="F55" i="3"/>
  <c r="E55" i="3"/>
  <c r="D55" i="3"/>
  <c r="C55" i="3"/>
  <c r="B55" i="3"/>
  <c r="R54" i="3"/>
  <c r="P54" i="3"/>
  <c r="N54" i="3"/>
  <c r="L54" i="3"/>
  <c r="J54" i="3"/>
  <c r="H54" i="3"/>
  <c r="R53" i="3"/>
  <c r="P53" i="3"/>
  <c r="N53" i="3"/>
  <c r="L53" i="3"/>
  <c r="J53" i="3"/>
  <c r="H53" i="3"/>
  <c r="R52" i="3"/>
  <c r="P52" i="3"/>
  <c r="N52" i="3"/>
  <c r="L52" i="3"/>
  <c r="J52" i="3"/>
  <c r="H52" i="3"/>
  <c r="R51" i="3"/>
  <c r="P51" i="3"/>
  <c r="N51" i="3"/>
  <c r="L51" i="3"/>
  <c r="J51" i="3"/>
  <c r="H51" i="3"/>
  <c r="R50" i="3"/>
  <c r="P50" i="3"/>
  <c r="N50" i="3"/>
  <c r="L50" i="3"/>
  <c r="J50" i="3"/>
  <c r="H50" i="3"/>
  <c r="R49" i="3"/>
  <c r="P49" i="3"/>
  <c r="N49" i="3"/>
  <c r="N55" i="3" s="1"/>
  <c r="L49" i="3"/>
  <c r="L55" i="3" s="1"/>
  <c r="J49" i="3"/>
  <c r="H49" i="3"/>
  <c r="R48" i="3"/>
  <c r="P48" i="3"/>
  <c r="N48" i="3"/>
  <c r="L48" i="3"/>
  <c r="J48" i="3"/>
  <c r="H48" i="3"/>
  <c r="H55" i="3" s="1"/>
  <c r="C42" i="3"/>
  <c r="D42" i="3" s="1"/>
  <c r="R40" i="3"/>
  <c r="S40" i="3" s="1"/>
  <c r="K40" i="3"/>
  <c r="L40" i="3" s="1"/>
  <c r="M40" i="3" s="1"/>
  <c r="N40" i="3" s="1"/>
  <c r="O40" i="3" s="1"/>
  <c r="P40" i="3" s="1"/>
  <c r="Q40" i="3" s="1"/>
  <c r="B40" i="3"/>
  <c r="C40" i="3" s="1"/>
  <c r="D40" i="3" s="1"/>
  <c r="E40" i="3" s="1"/>
  <c r="F40" i="3" s="1"/>
  <c r="G40" i="3" s="1"/>
  <c r="H40" i="3" s="1"/>
  <c r="I40" i="3" s="1"/>
  <c r="J40" i="3" s="1"/>
  <c r="C39" i="3"/>
  <c r="B37" i="3"/>
  <c r="E34" i="3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D34" i="3"/>
  <c r="C34" i="3"/>
  <c r="P33" i="3"/>
  <c r="G32" i="3"/>
  <c r="H32" i="3" s="1"/>
  <c r="I32" i="3" s="1"/>
  <c r="J32" i="3" s="1"/>
  <c r="K32" i="3" s="1"/>
  <c r="C32" i="3"/>
  <c r="D32" i="3" s="1"/>
  <c r="E32" i="3" s="1"/>
  <c r="F32" i="3" s="1"/>
  <c r="D31" i="3"/>
  <c r="C31" i="3"/>
  <c r="D28" i="3"/>
  <c r="E28" i="3" s="1"/>
  <c r="F28" i="3" s="1"/>
  <c r="G28" i="3" s="1"/>
  <c r="H28" i="3" s="1"/>
  <c r="I28" i="3" s="1"/>
  <c r="J28" i="3" s="1"/>
  <c r="K28" i="3" s="1"/>
  <c r="L28" i="3" s="1"/>
  <c r="C28" i="3"/>
  <c r="B23" i="3"/>
  <c r="B22" i="3"/>
  <c r="B9" i="3" s="1"/>
  <c r="B7" i="3" s="1"/>
  <c r="B15" i="3" s="1"/>
  <c r="B10" i="3"/>
  <c r="D5" i="3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B5" i="3"/>
  <c r="C4" i="3"/>
  <c r="C3" i="3" s="1"/>
  <c r="M3" i="3"/>
  <c r="N3" i="3" s="1"/>
  <c r="L3" i="3"/>
  <c r="B3" i="3"/>
  <c r="C2" i="3"/>
  <c r="D2" i="3" s="1"/>
  <c r="E2" i="3" s="1"/>
  <c r="F2" i="3" s="1"/>
  <c r="D1" i="3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C37" i="2"/>
  <c r="C38" i="2" s="1"/>
  <c r="D33" i="2"/>
  <c r="D31" i="2"/>
  <c r="C31" i="2"/>
  <c r="C32" i="2" s="1"/>
  <c r="C23" i="2"/>
  <c r="C18" i="2"/>
  <c r="D16" i="2"/>
  <c r="E16" i="2" s="1"/>
  <c r="F16" i="2" s="1"/>
  <c r="G16" i="2" s="1"/>
  <c r="H16" i="2" s="1"/>
  <c r="I16" i="2" s="1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10" i="2"/>
  <c r="F9" i="2"/>
  <c r="E9" i="2"/>
  <c r="C9" i="2"/>
  <c r="C8" i="2"/>
  <c r="C7" i="2"/>
  <c r="C6" i="2"/>
  <c r="C5" i="2"/>
  <c r="C21" i="2" s="1"/>
  <c r="N60" i="3" l="1"/>
  <c r="O60" i="3" s="1"/>
  <c r="P60" i="3" s="1"/>
  <c r="Q60" i="3" s="1"/>
  <c r="R60" i="3" s="1"/>
  <c r="S60" i="3" s="1"/>
  <c r="M58" i="3"/>
  <c r="M11" i="3" s="1"/>
  <c r="O3" i="3"/>
  <c r="M28" i="3"/>
  <c r="C38" i="3"/>
  <c r="D39" i="3"/>
  <c r="D17" i="2"/>
  <c r="D18" i="2" s="1"/>
  <c r="C58" i="3"/>
  <c r="C11" i="3" s="1"/>
  <c r="D59" i="3"/>
  <c r="M58" i="5"/>
  <c r="M11" i="5" s="1"/>
  <c r="N60" i="5"/>
  <c r="J16" i="2"/>
  <c r="Q33" i="3"/>
  <c r="R34" i="3"/>
  <c r="G2" i="3"/>
  <c r="F3" i="3"/>
  <c r="G9" i="2"/>
  <c r="E42" i="3"/>
  <c r="E10" i="2"/>
  <c r="E39" i="5"/>
  <c r="D4" i="3"/>
  <c r="E4" i="3" s="1"/>
  <c r="F4" i="3" s="1"/>
  <c r="G4" i="3" s="1"/>
  <c r="H4" i="3" s="1"/>
  <c r="I4" i="3" s="1"/>
  <c r="B16" i="3"/>
  <c r="D34" i="5"/>
  <c r="D10" i="2"/>
  <c r="D3" i="3"/>
  <c r="C33" i="3"/>
  <c r="C23" i="3" s="1"/>
  <c r="C22" i="3" s="1"/>
  <c r="R59" i="3"/>
  <c r="S59" i="3" s="1"/>
  <c r="S58" i="3" s="1"/>
  <c r="S11" i="3" s="1"/>
  <c r="Q58" i="3"/>
  <c r="Q11" i="3" s="1"/>
  <c r="D58" i="5"/>
  <c r="D11" i="5" s="1"/>
  <c r="E59" i="5"/>
  <c r="I2" i="4"/>
  <c r="J2" i="4" s="1"/>
  <c r="K2" i="4" s="1"/>
  <c r="L2" i="4" s="1"/>
  <c r="M2" i="4" s="1"/>
  <c r="N2" i="4" s="1"/>
  <c r="O2" i="4" s="1"/>
  <c r="P2" i="4" s="1"/>
  <c r="Q2" i="4" s="1"/>
  <c r="R2" i="4" s="1"/>
  <c r="S2" i="4" s="1"/>
  <c r="D32" i="2"/>
  <c r="D34" i="2"/>
  <c r="D47" i="2" s="1"/>
  <c r="D48" i="2" s="1"/>
  <c r="D49" i="2" s="1"/>
  <c r="E3" i="3"/>
  <c r="E31" i="3"/>
  <c r="D33" i="3"/>
  <c r="D23" i="3" s="1"/>
  <c r="D22" i="3" s="1"/>
  <c r="H31" i="5"/>
  <c r="P59" i="5"/>
  <c r="Q59" i="5" s="1"/>
  <c r="E31" i="2"/>
  <c r="N58" i="3"/>
  <c r="N11" i="3" s="1"/>
  <c r="E61" i="4"/>
  <c r="F61" i="4" s="1"/>
  <c r="G61" i="4" s="1"/>
  <c r="H61" i="4" s="1"/>
  <c r="I61" i="4" s="1"/>
  <c r="J61" i="4" s="1"/>
  <c r="K61" i="4" s="1"/>
  <c r="L61" i="4" s="1"/>
  <c r="M61" i="4" s="1"/>
  <c r="N61" i="4" s="1"/>
  <c r="O61" i="4" s="1"/>
  <c r="P61" i="4" s="1"/>
  <c r="Q61" i="4" s="1"/>
  <c r="R61" i="4" s="1"/>
  <c r="S61" i="4" s="1"/>
  <c r="C9" i="5"/>
  <c r="B14" i="3"/>
  <c r="B19" i="3"/>
  <c r="B10" i="5"/>
  <c r="B37" i="5"/>
  <c r="B40" i="5"/>
  <c r="C40" i="5" s="1"/>
  <c r="R58" i="3"/>
  <c r="R11" i="3" s="1"/>
  <c r="C37" i="4"/>
  <c r="C10" i="4"/>
  <c r="F55" i="4"/>
  <c r="G50" i="4"/>
  <c r="C58" i="5"/>
  <c r="C11" i="5" s="1"/>
  <c r="J55" i="3"/>
  <c r="B19" i="5"/>
  <c r="B9" i="5"/>
  <c r="D9" i="2"/>
  <c r="D38" i="4"/>
  <c r="P59" i="4"/>
  <c r="Q59" i="4" s="1"/>
  <c r="R59" i="4" s="1"/>
  <c r="R55" i="5"/>
  <c r="F3" i="4"/>
  <c r="F39" i="4"/>
  <c r="E38" i="4"/>
  <c r="H55" i="5"/>
  <c r="P58" i="3"/>
  <c r="P11" i="3" s="1"/>
  <c r="O58" i="3"/>
  <c r="O11" i="3" s="1"/>
  <c r="G2" i="4"/>
  <c r="D28" i="4"/>
  <c r="E28" i="4" s="1"/>
  <c r="F28" i="4" s="1"/>
  <c r="G28" i="4" s="1"/>
  <c r="H28" i="4" s="1"/>
  <c r="I28" i="4" s="1"/>
  <c r="J28" i="4" s="1"/>
  <c r="K28" i="4" s="1"/>
  <c r="L28" i="4" s="1"/>
  <c r="D32" i="4"/>
  <c r="E32" i="4" s="1"/>
  <c r="F32" i="4" s="1"/>
  <c r="G32" i="4" s="1"/>
  <c r="H32" i="4" s="1"/>
  <c r="I32" i="4" s="1"/>
  <c r="J32" i="4" s="1"/>
  <c r="K32" i="4" s="1"/>
  <c r="E2" i="5"/>
  <c r="D3" i="5"/>
  <c r="B37" i="4"/>
  <c r="B10" i="4"/>
  <c r="E58" i="4"/>
  <c r="E11" i="4" s="1"/>
  <c r="B19" i="4"/>
  <c r="C20" i="4" s="1"/>
  <c r="F59" i="4"/>
  <c r="C58" i="4"/>
  <c r="C11" i="4" s="1"/>
  <c r="D23" i="4"/>
  <c r="D22" i="4" s="1"/>
  <c r="D33" i="4"/>
  <c r="D62" i="4"/>
  <c r="E62" i="4" s="1"/>
  <c r="F62" i="4" s="1"/>
  <c r="G62" i="4" s="1"/>
  <c r="H62" i="4" s="1"/>
  <c r="I62" i="4" s="1"/>
  <c r="J62" i="4" s="1"/>
  <c r="K62" i="4" s="1"/>
  <c r="L62" i="4" s="1"/>
  <c r="M62" i="4" s="1"/>
  <c r="N62" i="4" s="1"/>
  <c r="O62" i="4" s="1"/>
  <c r="P62" i="4" s="1"/>
  <c r="Q62" i="4" s="1"/>
  <c r="R62" i="4" s="1"/>
  <c r="S62" i="4" s="1"/>
  <c r="E31" i="4"/>
  <c r="E28" i="5"/>
  <c r="C3" i="5"/>
  <c r="J55" i="5"/>
  <c r="D9" i="3" l="1"/>
  <c r="C9" i="3"/>
  <c r="C19" i="3"/>
  <c r="C20" i="3" s="1"/>
  <c r="M28" i="4"/>
  <c r="F31" i="3"/>
  <c r="E33" i="3"/>
  <c r="E23" i="3" s="1"/>
  <c r="E22" i="3" s="1"/>
  <c r="G55" i="4"/>
  <c r="H50" i="4"/>
  <c r="K16" i="2"/>
  <c r="F38" i="4"/>
  <c r="G39" i="4"/>
  <c r="R59" i="5"/>
  <c r="E58" i="5"/>
  <c r="E11" i="5" s="1"/>
  <c r="F59" i="5"/>
  <c r="J4" i="3"/>
  <c r="I2" i="3"/>
  <c r="J9" i="2" s="1"/>
  <c r="N58" i="5"/>
  <c r="N11" i="5" s="1"/>
  <c r="O60" i="5"/>
  <c r="P3" i="3"/>
  <c r="G59" i="4"/>
  <c r="F58" i="4"/>
  <c r="F11" i="4" s="1"/>
  <c r="E34" i="2"/>
  <c r="E47" i="2" s="1"/>
  <c r="E48" i="2" s="1"/>
  <c r="E32" i="2"/>
  <c r="F31" i="2"/>
  <c r="E33" i="2"/>
  <c r="F33" i="2"/>
  <c r="Q8" i="2"/>
  <c r="F28" i="5"/>
  <c r="E33" i="4"/>
  <c r="F31" i="4"/>
  <c r="E23" i="4"/>
  <c r="E22" i="4" s="1"/>
  <c r="F39" i="5"/>
  <c r="E17" i="2"/>
  <c r="D9" i="4"/>
  <c r="D19" i="4"/>
  <c r="D20" i="4" s="1"/>
  <c r="E49" i="2"/>
  <c r="R33" i="3"/>
  <c r="S34" i="3"/>
  <c r="S33" i="3" s="1"/>
  <c r="E37" i="4"/>
  <c r="E10" i="4"/>
  <c r="C15" i="4"/>
  <c r="D58" i="3"/>
  <c r="D11" i="3" s="1"/>
  <c r="E59" i="3"/>
  <c r="N8" i="2"/>
  <c r="H2" i="4"/>
  <c r="H3" i="4" s="1"/>
  <c r="G3" i="4"/>
  <c r="H2" i="3"/>
  <c r="G3" i="3"/>
  <c r="H9" i="2"/>
  <c r="C7" i="4"/>
  <c r="C10" i="3"/>
  <c r="C37" i="3"/>
  <c r="B15" i="4"/>
  <c r="N28" i="3"/>
  <c r="F2" i="5"/>
  <c r="E3" i="5"/>
  <c r="S59" i="4"/>
  <c r="D58" i="4"/>
  <c r="D11" i="4" s="1"/>
  <c r="I31" i="5"/>
  <c r="R8" i="2"/>
  <c r="D8" i="2"/>
  <c r="D40" i="5"/>
  <c r="C38" i="5"/>
  <c r="B7" i="5"/>
  <c r="B16" i="5" s="1"/>
  <c r="B14" i="5"/>
  <c r="O8" i="2"/>
  <c r="P8" i="2"/>
  <c r="D38" i="3"/>
  <c r="E39" i="3"/>
  <c r="D33" i="5"/>
  <c r="D23" i="5" s="1"/>
  <c r="D22" i="5" s="1"/>
  <c r="E34" i="5"/>
  <c r="D37" i="4"/>
  <c r="D10" i="4"/>
  <c r="S8" i="2"/>
  <c r="B7" i="4"/>
  <c r="T11" i="3"/>
  <c r="T8" i="2"/>
  <c r="F42" i="3"/>
  <c r="F10" i="2"/>
  <c r="E9" i="3" l="1"/>
  <c r="E18" i="2"/>
  <c r="F17" i="2"/>
  <c r="I50" i="4"/>
  <c r="H55" i="4"/>
  <c r="D10" i="3"/>
  <c r="D37" i="3"/>
  <c r="B16" i="4"/>
  <c r="B14" i="4"/>
  <c r="E19" i="4"/>
  <c r="E20" i="4" s="1"/>
  <c r="E9" i="4"/>
  <c r="D9" i="5"/>
  <c r="E58" i="3"/>
  <c r="E11" i="3" s="1"/>
  <c r="F59" i="3"/>
  <c r="G42" i="3"/>
  <c r="G10" i="2"/>
  <c r="D16" i="4"/>
  <c r="H3" i="3"/>
  <c r="I9" i="2"/>
  <c r="B15" i="5"/>
  <c r="G38" i="4"/>
  <c r="H39" i="4"/>
  <c r="K4" i="3"/>
  <c r="J2" i="3"/>
  <c r="K9" i="2" s="1"/>
  <c r="C8" i="4"/>
  <c r="C14" i="4"/>
  <c r="G31" i="3"/>
  <c r="F33" i="3"/>
  <c r="F23" i="3" s="1"/>
  <c r="F22" i="3" s="1"/>
  <c r="N28" i="4"/>
  <c r="F49" i="2"/>
  <c r="F33" i="4"/>
  <c r="G31" i="4"/>
  <c r="F23" i="4"/>
  <c r="F22" i="4" s="1"/>
  <c r="C37" i="5"/>
  <c r="C10" i="5"/>
  <c r="C19" i="5"/>
  <c r="C20" i="5" s="1"/>
  <c r="C16" i="4"/>
  <c r="H59" i="4"/>
  <c r="G58" i="4"/>
  <c r="G11" i="4" s="1"/>
  <c r="F37" i="4"/>
  <c r="F10" i="4"/>
  <c r="C7" i="3"/>
  <c r="D7" i="2"/>
  <c r="C14" i="3"/>
  <c r="O28" i="3"/>
  <c r="P60" i="5"/>
  <c r="O58" i="5"/>
  <c r="O11" i="5" s="1"/>
  <c r="E8" i="2"/>
  <c r="G39" i="5"/>
  <c r="F34" i="2"/>
  <c r="F47" i="2" s="1"/>
  <c r="F48" i="2" s="1"/>
  <c r="G31" i="2"/>
  <c r="G33" i="2"/>
  <c r="F32" i="2"/>
  <c r="S59" i="5"/>
  <c r="Q3" i="3"/>
  <c r="D7" i="3"/>
  <c r="E7" i="2"/>
  <c r="E38" i="3"/>
  <c r="F39" i="3"/>
  <c r="C15" i="3"/>
  <c r="D6" i="2"/>
  <c r="G59" i="5"/>
  <c r="F58" i="5"/>
  <c r="F11" i="5" s="1"/>
  <c r="J31" i="5"/>
  <c r="E40" i="5"/>
  <c r="D38" i="5"/>
  <c r="G2" i="5"/>
  <c r="F3" i="5"/>
  <c r="F34" i="5"/>
  <c r="E33" i="5"/>
  <c r="E23" i="5" s="1"/>
  <c r="E22" i="5" s="1"/>
  <c r="D7" i="4"/>
  <c r="D8" i="4" s="1"/>
  <c r="D14" i="4"/>
  <c r="G28" i="5"/>
  <c r="L16" i="2"/>
  <c r="D19" i="3"/>
  <c r="D20" i="3" s="1"/>
  <c r="F9" i="3" l="1"/>
  <c r="K31" i="5"/>
  <c r="R3" i="3"/>
  <c r="D15" i="3"/>
  <c r="E6" i="2"/>
  <c r="D15" i="4"/>
  <c r="H42" i="3"/>
  <c r="H10" i="2"/>
  <c r="J50" i="4"/>
  <c r="I55" i="4"/>
  <c r="H39" i="5"/>
  <c r="E7" i="4"/>
  <c r="E14" i="4"/>
  <c r="D8" i="3"/>
  <c r="E5" i="2"/>
  <c r="E21" i="2" s="1"/>
  <c r="E22" i="2" s="1"/>
  <c r="D14" i="3"/>
  <c r="O28" i="4"/>
  <c r="M16" i="2"/>
  <c r="H28" i="5"/>
  <c r="G33" i="3"/>
  <c r="H31" i="3"/>
  <c r="G23" i="3"/>
  <c r="G22" i="3" s="1"/>
  <c r="F58" i="3"/>
  <c r="F11" i="3" s="1"/>
  <c r="G59" i="3"/>
  <c r="F18" i="2"/>
  <c r="G17" i="2"/>
  <c r="H38" i="4"/>
  <c r="I39" i="4"/>
  <c r="F40" i="5"/>
  <c r="E38" i="5"/>
  <c r="I59" i="4"/>
  <c r="H58" i="4"/>
  <c r="H11" i="4" s="1"/>
  <c r="C7" i="5"/>
  <c r="G34" i="5"/>
  <c r="F33" i="5"/>
  <c r="F23" i="5" s="1"/>
  <c r="F22" i="5" s="1"/>
  <c r="H31" i="2"/>
  <c r="H33" i="2" s="1"/>
  <c r="G34" i="2"/>
  <c r="G47" i="2" s="1"/>
  <c r="G48" i="2" s="1"/>
  <c r="G49" i="2" s="1"/>
  <c r="G32" i="2"/>
  <c r="F19" i="4"/>
  <c r="F20" i="4" s="1"/>
  <c r="F9" i="4"/>
  <c r="F8" i="2"/>
  <c r="D16" i="3"/>
  <c r="Q60" i="5"/>
  <c r="P58" i="5"/>
  <c r="P11" i="5" s="1"/>
  <c r="E9" i="5"/>
  <c r="G39" i="3"/>
  <c r="F38" i="3"/>
  <c r="D5" i="2"/>
  <c r="D21" i="2" s="1"/>
  <c r="D22" i="2" s="1"/>
  <c r="C8" i="3"/>
  <c r="C16" i="3"/>
  <c r="G33" i="4"/>
  <c r="G23" i="4"/>
  <c r="G22" i="4" s="1"/>
  <c r="H31" i="4"/>
  <c r="D7" i="5"/>
  <c r="D14" i="5" s="1"/>
  <c r="F7" i="2"/>
  <c r="D37" i="5"/>
  <c r="D10" i="5"/>
  <c r="G10" i="4"/>
  <c r="G37" i="4"/>
  <c r="H59" i="5"/>
  <c r="G58" i="5"/>
  <c r="G11" i="5" s="1"/>
  <c r="P28" i="3"/>
  <c r="G3" i="5"/>
  <c r="H2" i="5"/>
  <c r="H3" i="5" s="1"/>
  <c r="I3" i="5" s="1"/>
  <c r="E37" i="3"/>
  <c r="E10" i="3"/>
  <c r="E7" i="3" s="1"/>
  <c r="L4" i="3"/>
  <c r="K2" i="3"/>
  <c r="L9" i="2" s="1"/>
  <c r="D19" i="5"/>
  <c r="D20" i="5" s="1"/>
  <c r="E19" i="3"/>
  <c r="E20" i="3" s="1"/>
  <c r="E8" i="3" l="1"/>
  <c r="F5" i="2"/>
  <c r="F21" i="2" s="1"/>
  <c r="F22" i="2" s="1"/>
  <c r="E14" i="3"/>
  <c r="E16" i="3"/>
  <c r="H49" i="2"/>
  <c r="G18" i="2"/>
  <c r="H17" i="2"/>
  <c r="H33" i="4"/>
  <c r="H23" i="4"/>
  <c r="H22" i="4" s="1"/>
  <c r="I31" i="4"/>
  <c r="E38" i="2"/>
  <c r="E23" i="2"/>
  <c r="E40" i="2"/>
  <c r="F24" i="2"/>
  <c r="E37" i="2"/>
  <c r="H10" i="4"/>
  <c r="H37" i="4"/>
  <c r="P28" i="4"/>
  <c r="I42" i="3"/>
  <c r="I10" i="2"/>
  <c r="I31" i="2"/>
  <c r="I33" i="2"/>
  <c r="H32" i="2"/>
  <c r="H34" i="2"/>
  <c r="H47" i="2" s="1"/>
  <c r="H48" i="2" s="1"/>
  <c r="R60" i="5"/>
  <c r="Q58" i="5"/>
  <c r="Q11" i="5" s="1"/>
  <c r="G8" i="2"/>
  <c r="H33" i="3"/>
  <c r="I31" i="3"/>
  <c r="H23" i="3"/>
  <c r="H22" i="3" s="1"/>
  <c r="E8" i="4"/>
  <c r="E16" i="4"/>
  <c r="E15" i="4"/>
  <c r="P23" i="3"/>
  <c r="Q28" i="3"/>
  <c r="G19" i="4"/>
  <c r="G20" i="4" s="1"/>
  <c r="G9" i="4"/>
  <c r="H34" i="5"/>
  <c r="G33" i="5"/>
  <c r="G23" i="5" s="1"/>
  <c r="G22" i="5" s="1"/>
  <c r="I59" i="5"/>
  <c r="H58" i="5"/>
  <c r="H11" i="5" s="1"/>
  <c r="G9" i="3"/>
  <c r="G19" i="3"/>
  <c r="G20" i="3" s="1"/>
  <c r="M4" i="3"/>
  <c r="L2" i="3"/>
  <c r="M9" i="2" s="1"/>
  <c r="D24" i="2"/>
  <c r="D23" i="2"/>
  <c r="D40" i="2"/>
  <c r="E24" i="2"/>
  <c r="D37" i="2"/>
  <c r="D38" i="2" s="1"/>
  <c r="L31" i="5"/>
  <c r="D8" i="5"/>
  <c r="D16" i="5"/>
  <c r="C8" i="5"/>
  <c r="C16" i="5"/>
  <c r="C14" i="5"/>
  <c r="D15" i="5"/>
  <c r="F7" i="4"/>
  <c r="F14" i="4"/>
  <c r="H39" i="3"/>
  <c r="G38" i="3"/>
  <c r="E37" i="5"/>
  <c r="E10" i="5"/>
  <c r="I28" i="5"/>
  <c r="F19" i="5"/>
  <c r="F9" i="5"/>
  <c r="H59" i="3"/>
  <c r="G58" i="3"/>
  <c r="G11" i="3" s="1"/>
  <c r="C15" i="5"/>
  <c r="F10" i="3"/>
  <c r="F37" i="3"/>
  <c r="J59" i="4"/>
  <c r="I58" i="4"/>
  <c r="I11" i="4" s="1"/>
  <c r="I39" i="5"/>
  <c r="G40" i="5"/>
  <c r="F38" i="5"/>
  <c r="K50" i="4"/>
  <c r="J55" i="4"/>
  <c r="F19" i="3"/>
  <c r="F20" i="3" s="1"/>
  <c r="E15" i="3"/>
  <c r="F6" i="2"/>
  <c r="I2" i="5"/>
  <c r="J2" i="5" s="1"/>
  <c r="K2" i="5" s="1"/>
  <c r="L2" i="5" s="1"/>
  <c r="M2" i="5" s="1"/>
  <c r="N2" i="5" s="1"/>
  <c r="O2" i="5" s="1"/>
  <c r="P2" i="5" s="1"/>
  <c r="J3" i="5"/>
  <c r="K3" i="5" s="1"/>
  <c r="L3" i="5" s="1"/>
  <c r="M3" i="5" s="1"/>
  <c r="N3" i="5" s="1"/>
  <c r="O3" i="5" s="1"/>
  <c r="P3" i="5" s="1"/>
  <c r="Q3" i="5" s="1"/>
  <c r="R3" i="5" s="1"/>
  <c r="S3" i="5" s="1"/>
  <c r="E19" i="5"/>
  <c r="E20" i="5" s="1"/>
  <c r="I38" i="4"/>
  <c r="J39" i="4"/>
  <c r="N16" i="2"/>
  <c r="G7" i="2"/>
  <c r="F7" i="3"/>
  <c r="F14" i="3" s="1"/>
  <c r="Q2" i="5" l="1"/>
  <c r="P22" i="5"/>
  <c r="J28" i="5"/>
  <c r="J31" i="4"/>
  <c r="I33" i="4"/>
  <c r="I23" i="4"/>
  <c r="I22" i="4" s="1"/>
  <c r="K59" i="4"/>
  <c r="L59" i="4" s="1"/>
  <c r="J58" i="4"/>
  <c r="J11" i="4" s="1"/>
  <c r="H7" i="2"/>
  <c r="J42" i="3"/>
  <c r="J10" i="2"/>
  <c r="I39" i="3"/>
  <c r="H38" i="3"/>
  <c r="Q28" i="4"/>
  <c r="H8" i="2"/>
  <c r="F8" i="4"/>
  <c r="F16" i="4"/>
  <c r="F15" i="4"/>
  <c r="I34" i="5"/>
  <c r="H33" i="5"/>
  <c r="H23" i="5" s="1"/>
  <c r="H22" i="5" s="1"/>
  <c r="F8" i="3"/>
  <c r="G5" i="2"/>
  <c r="G21" i="2" s="1"/>
  <c r="G22" i="2" s="1"/>
  <c r="M31" i="5"/>
  <c r="H18" i="2"/>
  <c r="I17" i="2"/>
  <c r="O16" i="2"/>
  <c r="L50" i="4"/>
  <c r="K55" i="4"/>
  <c r="K39" i="4"/>
  <c r="J38" i="4"/>
  <c r="F10" i="5"/>
  <c r="F37" i="5"/>
  <c r="I59" i="3"/>
  <c r="H58" i="3"/>
  <c r="H11" i="3" s="1"/>
  <c r="G7" i="4"/>
  <c r="G14" i="4" s="1"/>
  <c r="F16" i="3"/>
  <c r="J31" i="2"/>
  <c r="J33" i="2"/>
  <c r="I32" i="2"/>
  <c r="I34" i="2"/>
  <c r="I47" i="2" s="1"/>
  <c r="I48" i="2" s="1"/>
  <c r="I49" i="2" s="1"/>
  <c r="H9" i="3"/>
  <c r="H19" i="3"/>
  <c r="H20" i="3" s="1"/>
  <c r="G9" i="5"/>
  <c r="G19" i="5"/>
  <c r="G20" i="5" s="1"/>
  <c r="I10" i="4"/>
  <c r="I37" i="4"/>
  <c r="H40" i="5"/>
  <c r="G38" i="5"/>
  <c r="F7" i="5"/>
  <c r="J39" i="5"/>
  <c r="H19" i="4"/>
  <c r="H20" i="4" s="1"/>
  <c r="H9" i="4"/>
  <c r="G10" i="3"/>
  <c r="G7" i="3" s="1"/>
  <c r="G37" i="3"/>
  <c r="I33" i="3"/>
  <c r="I23" i="3" s="1"/>
  <c r="I22" i="3" s="1"/>
  <c r="J31" i="3"/>
  <c r="F15" i="3"/>
  <c r="G6" i="2"/>
  <c r="E7" i="5"/>
  <c r="Q23" i="3"/>
  <c r="R28" i="3"/>
  <c r="S60" i="5"/>
  <c r="S58" i="5" s="1"/>
  <c r="S11" i="5" s="1"/>
  <c r="R58" i="5"/>
  <c r="R11" i="5" s="1"/>
  <c r="F38" i="2"/>
  <c r="F23" i="2"/>
  <c r="F40" i="2"/>
  <c r="G24" i="2"/>
  <c r="F37" i="2"/>
  <c r="M2" i="3"/>
  <c r="N9" i="2" s="1"/>
  <c r="N4" i="3"/>
  <c r="J59" i="5"/>
  <c r="I58" i="5"/>
  <c r="I11" i="5" s="1"/>
  <c r="F20" i="5"/>
  <c r="G8" i="3" l="1"/>
  <c r="H5" i="2"/>
  <c r="H21" i="2" s="1"/>
  <c r="H22" i="2" s="1"/>
  <c r="G14" i="3"/>
  <c r="G16" i="3"/>
  <c r="I9" i="3"/>
  <c r="J49" i="2"/>
  <c r="J59" i="3"/>
  <c r="I58" i="3"/>
  <c r="I11" i="3" s="1"/>
  <c r="I7" i="2"/>
  <c r="H7" i="3"/>
  <c r="I40" i="5"/>
  <c r="H38" i="5"/>
  <c r="M50" i="4"/>
  <c r="L55" i="4"/>
  <c r="L58" i="4"/>
  <c r="L11" i="4" s="1"/>
  <c r="J34" i="5"/>
  <c r="I33" i="5"/>
  <c r="I23" i="5" s="1"/>
  <c r="I22" i="5" s="1"/>
  <c r="F15" i="5"/>
  <c r="G23" i="2"/>
  <c r="G38" i="2"/>
  <c r="G37" i="2"/>
  <c r="G40" i="2"/>
  <c r="K31" i="4"/>
  <c r="J33" i="4"/>
  <c r="J23" i="4" s="1"/>
  <c r="J22" i="4" s="1"/>
  <c r="G8" i="4"/>
  <c r="G16" i="4"/>
  <c r="G15" i="4"/>
  <c r="G15" i="3"/>
  <c r="H6" i="2"/>
  <c r="K59" i="5"/>
  <c r="J58" i="5"/>
  <c r="J11" i="5" s="1"/>
  <c r="E8" i="5"/>
  <c r="E16" i="5"/>
  <c r="E14" i="5"/>
  <c r="J37" i="4"/>
  <c r="J10" i="4"/>
  <c r="H37" i="3"/>
  <c r="H10" i="3"/>
  <c r="P16" i="2"/>
  <c r="R23" i="3"/>
  <c r="S28" i="3"/>
  <c r="S23" i="3" s="1"/>
  <c r="F8" i="5"/>
  <c r="F16" i="5"/>
  <c r="L39" i="4"/>
  <c r="K38" i="4"/>
  <c r="E15" i="5"/>
  <c r="J39" i="3"/>
  <c r="I38" i="3"/>
  <c r="I19" i="3" s="1"/>
  <c r="I20" i="3" s="1"/>
  <c r="K28" i="5"/>
  <c r="I8" i="2"/>
  <c r="I19" i="4"/>
  <c r="I20" i="4" s="1"/>
  <c r="I9" i="4"/>
  <c r="R28" i="4"/>
  <c r="K39" i="5"/>
  <c r="F14" i="5"/>
  <c r="K33" i="2"/>
  <c r="K31" i="2"/>
  <c r="J32" i="2"/>
  <c r="J34" i="2"/>
  <c r="J47" i="2" s="1"/>
  <c r="J48" i="2" s="1"/>
  <c r="K58" i="4"/>
  <c r="K11" i="4" s="1"/>
  <c r="P9" i="5"/>
  <c r="I18" i="2"/>
  <c r="J17" i="2"/>
  <c r="H7" i="4"/>
  <c r="H14" i="4"/>
  <c r="T11" i="5"/>
  <c r="N31" i="5"/>
  <c r="O4" i="3"/>
  <c r="N2" i="3"/>
  <c r="O9" i="2" s="1"/>
  <c r="J33" i="3"/>
  <c r="K31" i="3"/>
  <c r="J23" i="3"/>
  <c r="J22" i="3" s="1"/>
  <c r="G37" i="5"/>
  <c r="G10" i="5"/>
  <c r="G7" i="5" s="1"/>
  <c r="H9" i="5"/>
  <c r="H19" i="5"/>
  <c r="H20" i="5" s="1"/>
  <c r="K42" i="3"/>
  <c r="K10" i="2"/>
  <c r="R2" i="5"/>
  <c r="Q22" i="5"/>
  <c r="J19" i="4" l="1"/>
  <c r="J20" i="4" s="1"/>
  <c r="J9" i="4"/>
  <c r="G8" i="5"/>
  <c r="G16" i="5"/>
  <c r="G14" i="5"/>
  <c r="Q16" i="2"/>
  <c r="J8" i="2"/>
  <c r="J9" i="3"/>
  <c r="K34" i="5"/>
  <c r="J33" i="5"/>
  <c r="J23" i="5" s="1"/>
  <c r="J22" i="5" s="1"/>
  <c r="H8" i="3"/>
  <c r="I5" i="2"/>
  <c r="I21" i="2" s="1"/>
  <c r="I22" i="2" s="1"/>
  <c r="H14" i="3"/>
  <c r="H8" i="4"/>
  <c r="H16" i="4"/>
  <c r="H15" i="4"/>
  <c r="S28" i="4"/>
  <c r="S23" i="4" s="1"/>
  <c r="S22" i="4" s="1"/>
  <c r="K49" i="2"/>
  <c r="J7" i="2"/>
  <c r="L42" i="3"/>
  <c r="L10" i="2"/>
  <c r="K10" i="4"/>
  <c r="K37" i="4"/>
  <c r="J18" i="2"/>
  <c r="K17" i="2"/>
  <c r="K59" i="3"/>
  <c r="J58" i="3"/>
  <c r="J11" i="3" s="1"/>
  <c r="H16" i="3"/>
  <c r="L31" i="4"/>
  <c r="K33" i="4"/>
  <c r="K23" i="4" s="1"/>
  <c r="K22" i="4" s="1"/>
  <c r="K39" i="3"/>
  <c r="J38" i="3"/>
  <c r="H15" i="3"/>
  <c r="I6" i="2"/>
  <c r="L39" i="5"/>
  <c r="M39" i="4"/>
  <c r="L38" i="4"/>
  <c r="I9" i="5"/>
  <c r="I7" i="4"/>
  <c r="I14" i="4"/>
  <c r="P4" i="3"/>
  <c r="O2" i="3"/>
  <c r="P9" i="2" s="1"/>
  <c r="N50" i="4"/>
  <c r="M58" i="4"/>
  <c r="M11" i="4" s="1"/>
  <c r="M55" i="4"/>
  <c r="I37" i="3"/>
  <c r="I10" i="3"/>
  <c r="I7" i="3" s="1"/>
  <c r="Q9" i="5"/>
  <c r="S2" i="5"/>
  <c r="S22" i="5" s="1"/>
  <c r="R22" i="5"/>
  <c r="L59" i="5"/>
  <c r="L58" i="5" s="1"/>
  <c r="L11" i="5" s="1"/>
  <c r="K58" i="5"/>
  <c r="K11" i="5" s="1"/>
  <c r="H37" i="5"/>
  <c r="H10" i="5"/>
  <c r="H7" i="5" s="1"/>
  <c r="H23" i="2"/>
  <c r="H37" i="2"/>
  <c r="H38" i="2"/>
  <c r="H40" i="2"/>
  <c r="I24" i="2"/>
  <c r="G15" i="5"/>
  <c r="K33" i="3"/>
  <c r="L31" i="3"/>
  <c r="K23" i="3"/>
  <c r="K22" i="3" s="1"/>
  <c r="O31" i="5"/>
  <c r="K34" i="2"/>
  <c r="K47" i="2" s="1"/>
  <c r="K48" i="2" s="1"/>
  <c r="K32" i="2"/>
  <c r="L31" i="2"/>
  <c r="L28" i="5"/>
  <c r="H24" i="2"/>
  <c r="J40" i="5"/>
  <c r="I38" i="5"/>
  <c r="I19" i="5" s="1"/>
  <c r="I20" i="5" s="1"/>
  <c r="J5" i="2" l="1"/>
  <c r="J21" i="2" s="1"/>
  <c r="J22" i="2" s="1"/>
  <c r="I8" i="3"/>
  <c r="I14" i="3"/>
  <c r="I16" i="3"/>
  <c r="H8" i="5"/>
  <c r="H16" i="5"/>
  <c r="H14" i="5"/>
  <c r="K19" i="4"/>
  <c r="K20" i="4" s="1"/>
  <c r="K9" i="4"/>
  <c r="J7" i="3"/>
  <c r="J14" i="3" s="1"/>
  <c r="K7" i="2"/>
  <c r="R9" i="5"/>
  <c r="I8" i="4"/>
  <c r="I16" i="4"/>
  <c r="I15" i="4"/>
  <c r="I7" i="5"/>
  <c r="I14" i="5"/>
  <c r="M42" i="3"/>
  <c r="M10" i="2"/>
  <c r="R16" i="2"/>
  <c r="L59" i="3"/>
  <c r="L58" i="3" s="1"/>
  <c r="L11" i="3" s="1"/>
  <c r="K58" i="3"/>
  <c r="K11" i="3" s="1"/>
  <c r="S9" i="4"/>
  <c r="S9" i="5"/>
  <c r="L34" i="2"/>
  <c r="L47" i="2" s="1"/>
  <c r="L48" i="2" s="1"/>
  <c r="L49" i="2" s="1"/>
  <c r="L32" i="2"/>
  <c r="M31" i="2"/>
  <c r="M33" i="2" s="1"/>
  <c r="L10" i="4"/>
  <c r="L37" i="4"/>
  <c r="L33" i="3"/>
  <c r="M31" i="3"/>
  <c r="L23" i="3"/>
  <c r="L22" i="3" s="1"/>
  <c r="Q4" i="3"/>
  <c r="P2" i="3"/>
  <c r="K40" i="5"/>
  <c r="J38" i="5"/>
  <c r="N39" i="4"/>
  <c r="M38" i="4"/>
  <c r="L34" i="5"/>
  <c r="K33" i="5"/>
  <c r="K23" i="5" s="1"/>
  <c r="K22" i="5" s="1"/>
  <c r="J37" i="3"/>
  <c r="J10" i="3"/>
  <c r="I10" i="5"/>
  <c r="I37" i="5"/>
  <c r="M28" i="5"/>
  <c r="I23" i="2"/>
  <c r="I37" i="2"/>
  <c r="I38" i="2"/>
  <c r="I40" i="2"/>
  <c r="J24" i="2"/>
  <c r="K18" i="2"/>
  <c r="L17" i="2"/>
  <c r="J19" i="3"/>
  <c r="J20" i="3" s="1"/>
  <c r="J6" i="2"/>
  <c r="I15" i="3"/>
  <c r="L33" i="2"/>
  <c r="M39" i="5"/>
  <c r="J7" i="4"/>
  <c r="J14" i="4" s="1"/>
  <c r="K9" i="3"/>
  <c r="L39" i="3"/>
  <c r="K38" i="3"/>
  <c r="L33" i="4"/>
  <c r="M31" i="4"/>
  <c r="L23" i="4"/>
  <c r="L22" i="4" s="1"/>
  <c r="H15" i="5"/>
  <c r="O50" i="4"/>
  <c r="N55" i="4"/>
  <c r="N58" i="4"/>
  <c r="N11" i="4" s="1"/>
  <c r="K8" i="2"/>
  <c r="J9" i="5"/>
  <c r="M8" i="2" l="1"/>
  <c r="T38" i="4"/>
  <c r="M37" i="4"/>
  <c r="M10" i="4"/>
  <c r="J37" i="5"/>
  <c r="J10" i="5"/>
  <c r="K37" i="3"/>
  <c r="K10" i="3"/>
  <c r="I8" i="5"/>
  <c r="I16" i="5"/>
  <c r="K9" i="5"/>
  <c r="O39" i="4"/>
  <c r="N38" i="4"/>
  <c r="N28" i="5"/>
  <c r="Q9" i="2"/>
  <c r="P22" i="3"/>
  <c r="J19" i="5"/>
  <c r="J20" i="5" s="1"/>
  <c r="R4" i="3"/>
  <c r="Q2" i="3"/>
  <c r="N39" i="5"/>
  <c r="S16" i="2"/>
  <c r="M33" i="4"/>
  <c r="N31" i="4"/>
  <c r="M23" i="4"/>
  <c r="M39" i="3"/>
  <c r="L38" i="3"/>
  <c r="J16" i="3"/>
  <c r="L7" i="2"/>
  <c r="L9" i="3"/>
  <c r="T9" i="5"/>
  <c r="L9" i="4"/>
  <c r="L19" i="4"/>
  <c r="L20" i="4" s="1"/>
  <c r="K7" i="4"/>
  <c r="K14" i="4"/>
  <c r="L40" i="5"/>
  <c r="K38" i="5"/>
  <c r="K19" i="5" s="1"/>
  <c r="K20" i="5" s="1"/>
  <c r="N31" i="3"/>
  <c r="M33" i="3"/>
  <c r="M23" i="3" s="1"/>
  <c r="T9" i="4"/>
  <c r="K19" i="3"/>
  <c r="K20" i="3" s="1"/>
  <c r="L18" i="2"/>
  <c r="M17" i="2"/>
  <c r="I15" i="5"/>
  <c r="J15" i="3"/>
  <c r="K6" i="2"/>
  <c r="P50" i="4"/>
  <c r="O55" i="4"/>
  <c r="O58" i="4"/>
  <c r="O11" i="4" s="1"/>
  <c r="M34" i="5"/>
  <c r="L33" i="5"/>
  <c r="L23" i="5" s="1"/>
  <c r="L22" i="5" s="1"/>
  <c r="J8" i="3"/>
  <c r="K5" i="2"/>
  <c r="K21" i="2" s="1"/>
  <c r="K22" i="2" s="1"/>
  <c r="M32" i="2"/>
  <c r="M34" i="2"/>
  <c r="M47" i="2" s="1"/>
  <c r="M48" i="2" s="1"/>
  <c r="M49" i="2" s="1"/>
  <c r="N31" i="2"/>
  <c r="N33" i="2" s="1"/>
  <c r="N42" i="3"/>
  <c r="N10" i="2"/>
  <c r="J8" i="4"/>
  <c r="J16" i="4"/>
  <c r="J15" i="4"/>
  <c r="L8" i="2"/>
  <c r="J37" i="2"/>
  <c r="J38" i="2" s="1"/>
  <c r="J40" i="2"/>
  <c r="J23" i="2"/>
  <c r="T23" i="3" l="1"/>
  <c r="M22" i="3"/>
  <c r="N39" i="3"/>
  <c r="M38" i="3"/>
  <c r="J7" i="5"/>
  <c r="J15" i="5" s="1"/>
  <c r="K8" i="4"/>
  <c r="K16" i="4"/>
  <c r="K15" i="4"/>
  <c r="N34" i="5"/>
  <c r="M33" i="5"/>
  <c r="M23" i="5" s="1"/>
  <c r="L7" i="4"/>
  <c r="M40" i="5"/>
  <c r="L38" i="5"/>
  <c r="L9" i="5"/>
  <c r="L19" i="5"/>
  <c r="L20" i="5" s="1"/>
  <c r="L6" i="2"/>
  <c r="O28" i="5"/>
  <c r="M7" i="2"/>
  <c r="T16" i="2"/>
  <c r="N37" i="4"/>
  <c r="N10" i="4"/>
  <c r="S4" i="3"/>
  <c r="S2" i="3" s="1"/>
  <c r="R2" i="3"/>
  <c r="P9" i="3"/>
  <c r="T23" i="4"/>
  <c r="M22" i="4"/>
  <c r="Q50" i="4"/>
  <c r="P58" i="4"/>
  <c r="P11" i="4" s="1"/>
  <c r="P55" i="4"/>
  <c r="N32" i="2"/>
  <c r="N34" i="2"/>
  <c r="N47" i="2" s="1"/>
  <c r="N48" i="2" s="1"/>
  <c r="N49" i="2" s="1"/>
  <c r="O31" i="2"/>
  <c r="O38" i="4"/>
  <c r="P39" i="4"/>
  <c r="K37" i="2"/>
  <c r="K38" i="2" s="1"/>
  <c r="K40" i="2"/>
  <c r="K23" i="2"/>
  <c r="O42" i="3"/>
  <c r="O10" i="2"/>
  <c r="O31" i="3"/>
  <c r="N33" i="3"/>
  <c r="N23" i="3"/>
  <c r="N22" i="3" s="1"/>
  <c r="O39" i="5"/>
  <c r="M18" i="2"/>
  <c r="N17" i="2"/>
  <c r="L37" i="3"/>
  <c r="L10" i="3"/>
  <c r="N33" i="4"/>
  <c r="O31" i="4"/>
  <c r="N23" i="4"/>
  <c r="N22" i="4" s="1"/>
  <c r="L19" i="3"/>
  <c r="L20" i="3" s="1"/>
  <c r="K24" i="2"/>
  <c r="K37" i="5"/>
  <c r="K10" i="5"/>
  <c r="K7" i="3"/>
  <c r="R9" i="2"/>
  <c r="Q22" i="3"/>
  <c r="P38" i="4" l="1"/>
  <c r="Q39" i="4"/>
  <c r="O32" i="2"/>
  <c r="O34" i="2"/>
  <c r="O47" i="2" s="1"/>
  <c r="O48" i="2" s="1"/>
  <c r="O49" i="2" s="1"/>
  <c r="P31" i="2"/>
  <c r="P33" i="2"/>
  <c r="L37" i="5"/>
  <c r="L10" i="5"/>
  <c r="Q9" i="3"/>
  <c r="K8" i="3"/>
  <c r="L5" i="2"/>
  <c r="L21" i="2" s="1"/>
  <c r="L22" i="2" s="1"/>
  <c r="K16" i="3"/>
  <c r="K14" i="3"/>
  <c r="J8" i="5"/>
  <c r="J16" i="5"/>
  <c r="J14" i="5"/>
  <c r="N19" i="4"/>
  <c r="N20" i="4" s="1"/>
  <c r="N9" i="4"/>
  <c r="N40" i="5"/>
  <c r="M38" i="5"/>
  <c r="T38" i="3"/>
  <c r="M10" i="3"/>
  <c r="M37" i="3"/>
  <c r="N18" i="2"/>
  <c r="O17" i="2"/>
  <c r="N9" i="3"/>
  <c r="N19" i="3"/>
  <c r="N20" i="3" s="1"/>
  <c r="P31" i="4"/>
  <c r="O33" i="4"/>
  <c r="O23" i="4"/>
  <c r="O22" i="4" s="1"/>
  <c r="P42" i="3"/>
  <c r="P10" i="2"/>
  <c r="L8" i="4"/>
  <c r="L16" i="4"/>
  <c r="L15" i="4"/>
  <c r="N38" i="3"/>
  <c r="O39" i="3"/>
  <c r="O23" i="5"/>
  <c r="O22" i="5" s="1"/>
  <c r="Q7" i="2"/>
  <c r="O37" i="4"/>
  <c r="O10" i="4"/>
  <c r="O33" i="2"/>
  <c r="L14" i="4"/>
  <c r="K15" i="3"/>
  <c r="T9" i="2"/>
  <c r="S22" i="3"/>
  <c r="K7" i="5"/>
  <c r="K15" i="5" s="1"/>
  <c r="L15" i="3"/>
  <c r="M6" i="2"/>
  <c r="R50" i="4"/>
  <c r="Q55" i="4"/>
  <c r="Q58" i="4"/>
  <c r="Q11" i="4" s="1"/>
  <c r="M9" i="3"/>
  <c r="M19" i="3"/>
  <c r="O34" i="5"/>
  <c r="O33" i="5" s="1"/>
  <c r="N33" i="5"/>
  <c r="N23" i="5" s="1"/>
  <c r="N22" i="5" s="1"/>
  <c r="P39" i="5"/>
  <c r="S9" i="2"/>
  <c r="R22" i="3"/>
  <c r="O33" i="3"/>
  <c r="O23" i="3"/>
  <c r="O22" i="3" s="1"/>
  <c r="M9" i="4"/>
  <c r="M19" i="4"/>
  <c r="L7" i="3"/>
  <c r="M22" i="5"/>
  <c r="T23" i="5"/>
  <c r="O9" i="3" l="1"/>
  <c r="M10" i="5"/>
  <c r="T38" i="5"/>
  <c r="M37" i="5"/>
  <c r="N7" i="4"/>
  <c r="N14" i="4" s="1"/>
  <c r="Q31" i="4"/>
  <c r="P33" i="4"/>
  <c r="P23" i="4"/>
  <c r="P22" i="4" s="1"/>
  <c r="O40" i="5"/>
  <c r="N38" i="5"/>
  <c r="L7" i="5"/>
  <c r="P32" i="2"/>
  <c r="P34" i="2"/>
  <c r="P47" i="2" s="1"/>
  <c r="P48" i="2" s="1"/>
  <c r="P49" i="2" s="1"/>
  <c r="Q31" i="2"/>
  <c r="Q33" i="2"/>
  <c r="N10" i="3"/>
  <c r="N7" i="3" s="1"/>
  <c r="N37" i="3"/>
  <c r="S50" i="4"/>
  <c r="R55" i="4"/>
  <c r="R58" i="4"/>
  <c r="R11" i="4" s="1"/>
  <c r="Q10" i="2"/>
  <c r="Q42" i="3"/>
  <c r="R9" i="3"/>
  <c r="S9" i="3"/>
  <c r="M19" i="5"/>
  <c r="M9" i="5"/>
  <c r="T20" i="3"/>
  <c r="M20" i="3"/>
  <c r="R7" i="2"/>
  <c r="O19" i="4"/>
  <c r="O20" i="4" s="1"/>
  <c r="O9" i="4"/>
  <c r="N19" i="5"/>
  <c r="N9" i="5"/>
  <c r="O7" i="2"/>
  <c r="L8" i="3"/>
  <c r="M5" i="2"/>
  <c r="M21" i="2" s="1"/>
  <c r="M22" i="2" s="1"/>
  <c r="M24" i="2" s="1"/>
  <c r="L16" i="3"/>
  <c r="L14" i="3"/>
  <c r="R39" i="4"/>
  <c r="Q38" i="4"/>
  <c r="Q39" i="5"/>
  <c r="O9" i="5"/>
  <c r="L37" i="2"/>
  <c r="L40" i="2"/>
  <c r="L23" i="2"/>
  <c r="L38" i="2"/>
  <c r="L24" i="2"/>
  <c r="P10" i="4"/>
  <c r="P37" i="4"/>
  <c r="K8" i="5"/>
  <c r="K16" i="5"/>
  <c r="K14" i="5"/>
  <c r="O38" i="3"/>
  <c r="P39" i="3"/>
  <c r="O18" i="2"/>
  <c r="P17" i="2"/>
  <c r="M7" i="3"/>
  <c r="N7" i="2"/>
  <c r="M20" i="4"/>
  <c r="T20" i="4"/>
  <c r="N6" i="2"/>
  <c r="M7" i="4"/>
  <c r="N8" i="3" l="1"/>
  <c r="O5" i="2"/>
  <c r="N16" i="3"/>
  <c r="N14" i="3"/>
  <c r="M8" i="3"/>
  <c r="T7" i="3"/>
  <c r="N5" i="2"/>
  <c r="N21" i="2" s="1"/>
  <c r="N22" i="2" s="1"/>
  <c r="M16" i="3"/>
  <c r="S55" i="4"/>
  <c r="S58" i="4"/>
  <c r="S11" i="4" s="1"/>
  <c r="T7" i="4"/>
  <c r="M8" i="4"/>
  <c r="M16" i="4"/>
  <c r="M15" i="4"/>
  <c r="Q34" i="2"/>
  <c r="Q47" i="2" s="1"/>
  <c r="Q48" i="2" s="1"/>
  <c r="Q49" i="2" s="1"/>
  <c r="Q32" i="2"/>
  <c r="R31" i="2"/>
  <c r="P40" i="5"/>
  <c r="O38" i="5"/>
  <c r="O10" i="3"/>
  <c r="O37" i="3"/>
  <c r="M7" i="5"/>
  <c r="M14" i="5" s="1"/>
  <c r="M15" i="3"/>
  <c r="P19" i="4"/>
  <c r="P20" i="4" s="1"/>
  <c r="P9" i="4"/>
  <c r="P38" i="3"/>
  <c r="Q39" i="3"/>
  <c r="N8" i="4"/>
  <c r="N16" i="4"/>
  <c r="N15" i="4"/>
  <c r="M20" i="5"/>
  <c r="T20" i="5"/>
  <c r="N20" i="5"/>
  <c r="P18" i="2"/>
  <c r="Q17" i="2"/>
  <c r="M40" i="2"/>
  <c r="M37" i="2"/>
  <c r="M23" i="2"/>
  <c r="M38" i="2"/>
  <c r="N15" i="3"/>
  <c r="O6" i="2"/>
  <c r="R39" i="5"/>
  <c r="S7" i="2"/>
  <c r="L8" i="5"/>
  <c r="L16" i="5"/>
  <c r="L14" i="5"/>
  <c r="P7" i="2"/>
  <c r="Q37" i="4"/>
  <c r="Q10" i="4"/>
  <c r="L15" i="5"/>
  <c r="O19" i="3"/>
  <c r="O20" i="3" s="1"/>
  <c r="R31" i="4"/>
  <c r="Q33" i="4"/>
  <c r="Q23" i="4"/>
  <c r="Q22" i="4" s="1"/>
  <c r="M14" i="4"/>
  <c r="T9" i="3"/>
  <c r="T7" i="2"/>
  <c r="O7" i="4"/>
  <c r="R10" i="2"/>
  <c r="R42" i="3"/>
  <c r="M14" i="3"/>
  <c r="S39" i="4"/>
  <c r="S38" i="4" s="1"/>
  <c r="R38" i="4"/>
  <c r="N10" i="5"/>
  <c r="N37" i="5"/>
  <c r="P6" i="2" l="1"/>
  <c r="R34" i="2"/>
  <c r="R47" i="2" s="1"/>
  <c r="R48" i="2" s="1"/>
  <c r="R49" i="2" s="1"/>
  <c r="S31" i="2"/>
  <c r="S33" i="2"/>
  <c r="R32" i="2"/>
  <c r="Q38" i="3"/>
  <c r="R39" i="3"/>
  <c r="S10" i="2"/>
  <c r="S42" i="3"/>
  <c r="T10" i="2" s="1"/>
  <c r="O10" i="5"/>
  <c r="O37" i="5"/>
  <c r="O19" i="5"/>
  <c r="O20" i="5" s="1"/>
  <c r="S37" i="4"/>
  <c r="S10" i="4"/>
  <c r="S19" i="4"/>
  <c r="Q19" i="4"/>
  <c r="Q20" i="4" s="1"/>
  <c r="Q9" i="4"/>
  <c r="R33" i="4"/>
  <c r="R23" i="4"/>
  <c r="R22" i="4" s="1"/>
  <c r="Q18" i="2"/>
  <c r="R17" i="2"/>
  <c r="T11" i="4"/>
  <c r="N40" i="2"/>
  <c r="N23" i="2"/>
  <c r="N37" i="2"/>
  <c r="N38" i="2"/>
  <c r="P7" i="4"/>
  <c r="P14" i="4" s="1"/>
  <c r="Q40" i="5"/>
  <c r="P38" i="5"/>
  <c r="P10" i="3"/>
  <c r="P37" i="3"/>
  <c r="P19" i="3"/>
  <c r="P20" i="3" s="1"/>
  <c r="M15" i="5"/>
  <c r="R33" i="2"/>
  <c r="N24" i="2"/>
  <c r="S39" i="5"/>
  <c r="T7" i="5"/>
  <c r="M8" i="5"/>
  <c r="M16" i="5"/>
  <c r="O21" i="2"/>
  <c r="O22" i="2" s="1"/>
  <c r="R37" i="4"/>
  <c r="R10" i="4"/>
  <c r="O7" i="3"/>
  <c r="O8" i="4"/>
  <c r="O16" i="4"/>
  <c r="O15" i="4"/>
  <c r="O14" i="4"/>
  <c r="N7" i="5"/>
  <c r="Q6" i="2" l="1"/>
  <c r="P7" i="3"/>
  <c r="R38" i="3"/>
  <c r="S39" i="3"/>
  <c r="S38" i="3" s="1"/>
  <c r="P37" i="5"/>
  <c r="P10" i="5"/>
  <c r="P19" i="5"/>
  <c r="P20" i="5" s="1"/>
  <c r="R40" i="5"/>
  <c r="Q38" i="5"/>
  <c r="S20" i="4"/>
  <c r="T31" i="2"/>
  <c r="T33" i="2"/>
  <c r="S34" i="2"/>
  <c r="S47" i="2" s="1"/>
  <c r="S48" i="2" s="1"/>
  <c r="S49" i="2" s="1"/>
  <c r="S32" i="2"/>
  <c r="T10" i="4"/>
  <c r="S7" i="4"/>
  <c r="S15" i="4" s="1"/>
  <c r="R18" i="2"/>
  <c r="S17" i="2"/>
  <c r="R19" i="4"/>
  <c r="R20" i="4" s="1"/>
  <c r="R9" i="4"/>
  <c r="N8" i="5"/>
  <c r="N16" i="5"/>
  <c r="N14" i="5"/>
  <c r="O40" i="2"/>
  <c r="O23" i="2"/>
  <c r="O37" i="2"/>
  <c r="O38" i="2" s="1"/>
  <c r="P8" i="4"/>
  <c r="P16" i="4"/>
  <c r="P15" i="4"/>
  <c r="P5" i="2"/>
  <c r="P21" i="2" s="1"/>
  <c r="P22" i="2" s="1"/>
  <c r="O8" i="3"/>
  <c r="O16" i="3"/>
  <c r="O14" i="3"/>
  <c r="O24" i="2"/>
  <c r="O15" i="3"/>
  <c r="O7" i="5"/>
  <c r="Q10" i="3"/>
  <c r="Q37" i="3"/>
  <c r="Q19" i="3"/>
  <c r="Q20" i="3" s="1"/>
  <c r="Q7" i="4"/>
  <c r="Q14" i="4" s="1"/>
  <c r="N15" i="5"/>
  <c r="P40" i="2" l="1"/>
  <c r="P23" i="2"/>
  <c r="P37" i="2"/>
  <c r="P38" i="2" s="1"/>
  <c r="Q37" i="5"/>
  <c r="Q10" i="5"/>
  <c r="Q19" i="5"/>
  <c r="Q20" i="5" s="1"/>
  <c r="P7" i="5"/>
  <c r="P15" i="5" s="1"/>
  <c r="O8" i="5"/>
  <c r="O16" i="5"/>
  <c r="O14" i="5"/>
  <c r="R10" i="3"/>
  <c r="R37" i="3"/>
  <c r="R19" i="3"/>
  <c r="R20" i="3" s="1"/>
  <c r="P8" i="3"/>
  <c r="Q5" i="2"/>
  <c r="Q21" i="2" s="1"/>
  <c r="Q22" i="2" s="1"/>
  <c r="P16" i="3"/>
  <c r="P14" i="3"/>
  <c r="Q8" i="4"/>
  <c r="Q16" i="4"/>
  <c r="Q15" i="4"/>
  <c r="R7" i="4"/>
  <c r="S10" i="3"/>
  <c r="S37" i="3"/>
  <c r="S19" i="3"/>
  <c r="S20" i="3" s="1"/>
  <c r="S40" i="5"/>
  <c r="S38" i="5" s="1"/>
  <c r="R38" i="5"/>
  <c r="S18" i="2"/>
  <c r="T17" i="2"/>
  <c r="T18" i="2" s="1"/>
  <c r="P24" i="2"/>
  <c r="P15" i="3"/>
  <c r="Q15" i="3"/>
  <c r="R6" i="2"/>
  <c r="Q7" i="3"/>
  <c r="S8" i="4"/>
  <c r="S14" i="4"/>
  <c r="S16" i="4"/>
  <c r="O15" i="5"/>
  <c r="T34" i="2"/>
  <c r="T47" i="2" s="1"/>
  <c r="T48" i="2" s="1"/>
  <c r="T49" i="2" s="1"/>
  <c r="T32" i="2"/>
  <c r="Q7" i="5" l="1"/>
  <c r="R10" i="5"/>
  <c r="R37" i="5"/>
  <c r="R19" i="5"/>
  <c r="R20" i="5" s="1"/>
  <c r="Q37" i="2"/>
  <c r="Q38" i="2" s="1"/>
  <c r="R24" i="2"/>
  <c r="Q23" i="2"/>
  <c r="Q40" i="2"/>
  <c r="S37" i="5"/>
  <c r="S10" i="5"/>
  <c r="S19" i="5"/>
  <c r="T10" i="3"/>
  <c r="T6" i="2"/>
  <c r="S7" i="3"/>
  <c r="S6" i="2"/>
  <c r="R7" i="3"/>
  <c r="Q24" i="2"/>
  <c r="P8" i="5"/>
  <c r="P16" i="5"/>
  <c r="P14" i="5"/>
  <c r="Q8" i="3"/>
  <c r="R5" i="2"/>
  <c r="R21" i="2" s="1"/>
  <c r="R22" i="2" s="1"/>
  <c r="Q16" i="3"/>
  <c r="Q14" i="3"/>
  <c r="R8" i="4"/>
  <c r="R16" i="4"/>
  <c r="R15" i="4"/>
  <c r="R14" i="4"/>
  <c r="T10" i="5" l="1"/>
  <c r="S7" i="5"/>
  <c r="S5" i="2"/>
  <c r="S21" i="2" s="1"/>
  <c r="S22" i="2" s="1"/>
  <c r="R8" i="3"/>
  <c r="R16" i="3"/>
  <c r="R14" i="3"/>
  <c r="R23" i="2"/>
  <c r="R37" i="2"/>
  <c r="R38" i="2" s="1"/>
  <c r="S24" i="2"/>
  <c r="R40" i="2"/>
  <c r="Q8" i="5"/>
  <c r="Q16" i="5"/>
  <c r="Q14" i="5"/>
  <c r="R15" i="3"/>
  <c r="S8" i="3"/>
  <c r="T5" i="2"/>
  <c r="T21" i="2" s="1"/>
  <c r="T22" i="2" s="1"/>
  <c r="S16" i="3"/>
  <c r="S14" i="3"/>
  <c r="S15" i="3"/>
  <c r="R7" i="5"/>
  <c r="R15" i="5" s="1"/>
  <c r="S20" i="5"/>
  <c r="Q15" i="5"/>
  <c r="S8" i="5" l="1"/>
  <c r="S16" i="5"/>
  <c r="S14" i="5"/>
  <c r="S23" i="2"/>
  <c r="S37" i="2"/>
  <c r="S38" i="2" s="1"/>
  <c r="S40" i="2"/>
  <c r="T24" i="2"/>
  <c r="R8" i="5"/>
  <c r="R16" i="5"/>
  <c r="R14" i="5"/>
  <c r="T23" i="2"/>
  <c r="T40" i="2"/>
  <c r="T37" i="2"/>
  <c r="T38" i="2" s="1"/>
  <c r="S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0200-000001000000}">
      <text>
        <r>
          <rPr>
            <sz val="10"/>
            <rFont val="Arial"/>
            <family val="2"/>
          </rPr>
          <t>William McSweeney:
Roughly 50% of tokens today
Retail: 30%
Prosumer: 20-30%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0300-000001000000}">
      <text>
        <r>
          <rPr>
            <sz val="10"/>
            <rFont val="Arial"/>
            <family val="2"/>
          </rPr>
          <t>William McSweeney:
Roughly 50% of tokens today
Retail: 30%
Prosumer: 20-30%</t>
        </r>
      </text>
    </comment>
    <comment ref="S50" authorId="0" shapeId="0" xr:uid="{00000000-0006-0000-0300-000002000000}">
      <text>
        <r>
          <rPr>
            <sz val="10"/>
            <rFont val="Arial"/>
            <family val="2"/>
          </rPr>
          <t>William McSweeney:
Musk 10B units potentially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0400-000001000000}">
      <text>
        <r>
          <rPr>
            <sz val="10"/>
            <rFont val="Arial"/>
            <family val="2"/>
          </rPr>
          <t>William McSweeney:
Roughly 50% of tokens today
Retail: 30%
Prosumer: 20-30%</t>
        </r>
      </text>
    </comment>
  </commentList>
</comments>
</file>

<file path=xl/sharedStrings.xml><?xml version="1.0" encoding="utf-8"?>
<sst xmlns="http://schemas.openxmlformats.org/spreadsheetml/2006/main" count="339" uniqueCount="164">
  <si>
    <t>AI Infrastructure — Demand vs Supply vs Gap  (Efficiency Overlay v4)</t>
  </si>
  <si>
    <t>Three curves: DEMAND (compute needed after efficiency) | SUPPLY (what can physically be built) | GAP (unmet demand = order book proxy). Blue=input  Black=formula  Green=Base sheet link  Orange=demand  Teal=supply  Red=gap  [n]=source</t>
  </si>
  <si>
    <t>Row</t>
  </si>
  <si>
    <t>Units</t>
  </si>
  <si>
    <t>SECTION 1: GROSS TOKEN DEMAND  (Base sheet — taken as given)</t>
  </si>
  <si>
    <t>Total Tokens/Day (T)</t>
  </si>
  <si>
    <t>T/day</t>
  </si>
  <si>
    <t>Enterprise Tokens/Day (T)</t>
  </si>
  <si>
    <t>Retail Tokens/Day (T)</t>
  </si>
  <si>
    <t>Robotics Tokens/Day (T)</t>
  </si>
  <si>
    <t>AI Users (M)</t>
  </si>
  <si>
    <t>M</t>
  </si>
  <si>
    <t>Agent Multiplier</t>
  </si>
  <si>
    <t>x</t>
  </si>
  <si>
    <t>SECTION 2: EFFICIENCY ASSUMPTIONS  (yellow = change to test scenarios)</t>
  </si>
  <si>
    <t>Hardware efficiency = FLOPS per watt, doubling every N years [1][2]. Applied to new capacity only via fleet replacement lag [3]. Existing installed base draws same power until replaced — no retroactive efficiency credit.</t>
  </si>
  <si>
    <t>Hardware Efficiency Doubling Period (years)  [1][2]</t>
  </si>
  <si>
    <t>yrs</t>
  </si>
  <si>
    <t>← Epoch AI [1]: GPU FLOPS/W doubled ~every 2yrs. Change to 1.5 (bear) or 3 (bull/physics slowdown).</t>
  </si>
  <si>
    <t>Fleet Replacement Lag — years before installed base upgrades  [3]</t>
  </si>
  <si>
    <t>← Hyperscaler GPU refresh ~4-5yr; enterprise ~7-8yr; DC useful life 20-30yr. Midpoint = 6yr [3].</t>
  </si>
  <si>
    <t>New Capacity Fraction per Year (1 / fleet lag)</t>
  </si>
  <si>
    <t>%/yr</t>
  </si>
  <si>
    <t>Efficiency Index — New Capacity (2025=1.0)</t>
  </si>
  <si>
    <t>index</t>
  </si>
  <si>
    <t>Fleet-Weighted Efficiency Index (new + legacy blend)</t>
  </si>
  <si>
    <t>Compute per Token Index — Fleet Weighted (2025=1.0, falls as fleet upgrades)</t>
  </si>
  <si>
    <t>SECTION 3: DEMAND CURVE  — Compute capacity the world NEEDS (orange)</t>
  </si>
  <si>
    <t>Net compute demand = gross tokens × fleet-weighted compute per token. Floored at prior year — existing infrastructure never demolished. This is WHAT THE WORLD NEEDS, not what will be built.</t>
  </si>
  <si>
    <t>Net Compute Demand — Total (T tokens equiv/day)</t>
  </si>
  <si>
    <t>Demand Curve — Global GW Required  [4][5][6]</t>
  </si>
  <si>
    <t>GW</t>
  </si>
  <si>
    <t>Demand Index (2025=100)</t>
  </si>
  <si>
    <t>idx</t>
  </si>
  <si>
    <t>Demand YoY Growth</t>
  </si>
  <si>
    <t>%</t>
  </si>
  <si>
    <t>—</t>
  </si>
  <si>
    <t>SECTION 4: SUPPLY CURVE  — What can PHYSICALLY be built (teal)  [7][8]</t>
  </si>
  <si>
    <t>Supply constrained by transformer lead times (3-5yr), grid interconnection queues (4yr+), permitting, and turbine backlogs — NOT by capital availability. Growth rate accelerates as supply chain investments from 2025-2027 mature. Supply allowed to overshoot demand in outer years to show where air pocket materializes.</t>
  </si>
  <si>
    <t>Supply Growth Rate 2026-2027 (physically constrained)  [7][8]</t>
  </si>
  <si>
    <t>← ~27GW/yr additions needed to hit JLL 200GW by 2030 [7]. Grid queues 4yr+ cap near-term growth [8].</t>
  </si>
  <si>
    <t>Supply Growth Rate 2028-2030 (bottlenecks partially clearing)</t>
  </si>
  <si>
    <t>← Capital committed 2025-2027 materializes. New transformer factories, turbine capacity online.</t>
  </si>
  <si>
    <t>Supply Growth Rate 2031-2035 (supply chain maturing)</t>
  </si>
  <si>
    <t>← Infrastructure supply chain at scale. Grid expansion accelerating. Growth sustained but moderating.</t>
  </si>
  <si>
    <t>Supply Growth Rate 2036-2042 (normalization, potential overshoot)</t>
  </si>
  <si>
    <t>← Growth moderates. Risk of overshoot as acute shortage resolves. This is where air pocket appears.</t>
  </si>
  <si>
    <t>Supply Curve — Global GW Operational  (what will actually be built)</t>
  </si>
  <si>
    <t>Supply Index (2025=100)</t>
  </si>
  <si>
    <t>Supply YoY Growth</t>
  </si>
  <si>
    <t>Incremental Supply Added Each Year (GW)</t>
  </si>
  <si>
    <t>SECTION 5: THE GAP — Unmet Demand = Order Book Proxy  (red = opportunity for T10-T15 names)</t>
  </si>
  <si>
    <t>Positive gap = supply cannot meet demand = transformers, switchgear, line hardware, galvanizing, turbine components all sold out. Gap turning negative = supply overshoots demand = the fiber optic moment. Watch for when incremental supply added per year FALLS — that is when new orders soften, even while backlog remains full.</t>
  </si>
  <si>
    <t>Gap — Unmet Demand (Demand GW minus Supply GW)</t>
  </si>
  <si>
    <t>Gap as % of Demand (positive = undersupplied, negative = oversupplied)</t>
  </si>
  <si>
    <t>★ KEY SIGNAL FOR ENERGY NAMES: Watch the row below. When incremental supply additions per year PEAK and begin falling, new equipment orders soften — even while backlog stays full. This leads the gap turning negative by ~2-3 years.</t>
  </si>
  <si>
    <t>Incremental Demand Added Each Year (GW) — peak = order book peak</t>
  </si>
  <si>
    <t>SECTION 6: INFRASTRUCTURE CAPEX — Annual spend flowing through T10-T15 supply chain</t>
  </si>
  <si>
    <t>Capex flows from SUPPLY additions (what gets built), not demand. Shell &amp; core + AI fit-out blend. Power/grid infrastructure ~25% of total DC spend [9].</t>
  </si>
  <si>
    <t>Construction Cost per MW — Shell &amp; Core  [9]</t>
  </si>
  <si>
    <t>$M/MW</t>
  </si>
  <si>
    <t>← JLL 2026 Global DC Outlook: avg global cost $11.3M/MW (6% increase from $10.7M in 2025) [9].</t>
  </si>
  <si>
    <t>AI Fit-Out Premium per MW (on top of shell &amp; core)  [9]</t>
  </si>
  <si>
    <t>← JLL: AI-optimized fit-out adds up to $25M/MW additional [9]. Using $15M conservative midpoint.</t>
  </si>
  <si>
    <t>AI Workload Share of New Capacity  [10]</t>
  </si>
  <si>
    <t>← AI ~25% of workloads 2025, forecast ~50% by 2030 [10]. Using 50% avg blend over full period.</t>
  </si>
  <si>
    <t>Power &amp; Grid Infrastructure Share of Total DC Capex  [9]</t>
  </si>
  <si>
    <t>← McKinsey/JLL: ~25% of total DC capex flows to power, cooling &amp; grid infrastructure [9].</t>
  </si>
  <si>
    <t>Total Annual DC Infrastructure Capex ($B) — from supply additions</t>
  </si>
  <si>
    <t>$B</t>
  </si>
  <si>
    <t>Power &amp; Grid Capex ($B) — what flows through T10-T15 starred names</t>
  </si>
  <si>
    <t>Cumulative Power &amp; Grid Capex from 2025 ($B)</t>
  </si>
  <si>
    <t>SOURCES &amp; METHODOLOGY NOTES</t>
  </si>
  <si>
    <t>[1]</t>
  </si>
  <si>
    <t>Hardware efficiency doubling — 2yr</t>
  </si>
  <si>
    <t>Epoch AI (2024): "Historically, the energy efficiency of leading GPUs and TPUs has doubled every 2 years." Dataset of 170+ AI accelerators. epoch.ai/data-insights/ml-hardware-energy-efficiency</t>
  </si>
  <si>
    <t>[2]</t>
  </si>
  <si>
    <t>GPU compute doubling times</t>
  </si>
  <si>
    <t>arXiv 2601.20115 (2026): FP16 compute doubles every 1.44-1.69 years. Memory bandwidth doubles every 3.32-3.53yr. Power consumption doubles every 16 years. Using 2yr as conservative blend of performance and energy metrics.</t>
  </si>
  <si>
    <t>[3]</t>
  </si>
  <si>
    <t>Fleet replacement lag = 6yr</t>
  </si>
  <si>
    <t>Hyperscaler GPU refresh: ~4-5yr (operator guidance). Enterprise DC useful life: 20-30yr. GPU cluster lifecycle: 5-7yr at hyperscalers per JLL and operator disclosures. Midpoint = 6yr.</t>
  </si>
  <si>
    <t>[4]</t>
  </si>
  <si>
    <t>US baseline 40.6 GW</t>
  </si>
  <si>
    <t>Cushman &amp; Wakefield Americas DC Update H2 2025: "Americas hosts 43.4 GW; 93.6% in US" = 40.6 GW US. cushmanwakefield.com/en/insights/americas-data-center-update</t>
  </si>
  <si>
    <t>[5]</t>
  </si>
  <si>
    <t>EMEA baseline 10.3 GW</t>
  </si>
  <si>
    <t>Cushman &amp; Wakefield EMEA DC Update H1 2025: "Operating capacity of EMEA data centres = 10.3 GW at end H1 2025." cushmanwakefield.com/en/germany/news/2025/08/emea-data-center-h1-2025</t>
  </si>
  <si>
    <t>[6]</t>
  </si>
  <si>
    <t>APAC baseline 12.2 GW</t>
  </si>
  <si>
    <t>Cushman &amp; Wakefield Global DC Market Comparison: "Asia Pacific total operational capacity = 12.2 GW end 2024." cushmanwakefield.com/en/insights/global-data-center-market-comparison</t>
  </si>
  <si>
    <t>[7]</t>
  </si>
  <si>
    <t>Supply growth rate &amp; 200 GW by 2030</t>
  </si>
  <si>
    <t>JLL 2026 Global DC Outlook: "Sector projected to increase by 97 GW between 2025-2030, effectively doubling. By 2030 global capacity could reach 200 GW." 17% supply CAGR in Americas. jll.com/en-de/insights/market-outlook/data-center-outlook</t>
  </si>
  <si>
    <t>[8]</t>
  </si>
  <si>
    <t>Grid interconnection constraint</t>
  </si>
  <si>
    <t>JLL 2026 Global DC Outlook: "Average grid-connection wait times in primary markets exceeding four years." Cushman &amp; Wakefield: "Power availability remains the top consideration; operators seeking 2-3yr delivery but often facing delays of 5yr+." This caps near-term supply growth regardless of capital availability.</t>
  </si>
  <si>
    <t>[9]</t>
  </si>
  <si>
    <t>Construction cost per MW</t>
  </si>
  <si>
    <t>JLL 2026 Global DC Outlook: "Average global construction cost $11.3M/MW (shell &amp; core, up from $7.7M in 2020). AI-optimized fit-out adds up to $25M/MW additional. Power &amp; grid = ~25% of total DC capex per McKinsey/JLL." jll.com/en-de/insights/market-outlook/data-center-outlook</t>
  </si>
  <si>
    <t>[10]</t>
  </si>
  <si>
    <t>AI workload share</t>
  </si>
  <si>
    <t>JLL 2026 Global DC Outlook: "AI ~25% of workloads in 2025; by 2030 AI could represent half of all workloads. Inference expected to overtake training by late 2026." jll.com/en-de/insights/market-outlook/data-center-outlook</t>
  </si>
  <si>
    <t>SCENARIO QUICK REFERENCE — change yellow cells</t>
  </si>
  <si>
    <t>Bear — fast efficiency</t>
  </si>
  <si>
    <t>Doubling=1.5yr, Fleet lag=4yr</t>
  </si>
  <si>
    <t>Gap closes ~2032. Air pocket risk for silicon names ~2033. Power/grid still fine through 2030.</t>
  </si>
  <si>
    <t>Base — empirical (current)</t>
  </si>
  <si>
    <t>Doubling=2yr, Fleet lag=6yr</t>
  </si>
  <si>
    <t>Gap persists through 2034+. No air pocket for power/grid in the investable horizon.</t>
  </si>
  <si>
    <t>Bull — physics slowdown</t>
  </si>
  <si>
    <t>Doubling=3yr, Fleet lag=8yr</t>
  </si>
  <si>
    <t>Gap never closes through 2042. All tiers critical entire period.</t>
  </si>
  <si>
    <t>Infrastructure only</t>
  </si>
  <si>
    <t>Supply growth rates 2026-27→15%, 28-30→20%, 31-35→18%, 36+→12%</t>
  </si>
  <si>
    <t>Models realistic physical build pace. Gap even larger, persists longer.</t>
  </si>
  <si>
    <t>Notes</t>
  </si>
  <si>
    <t>AI Users (M's)</t>
  </si>
  <si>
    <t>Penetration</t>
  </si>
  <si>
    <t>Internet Users (M)</t>
  </si>
  <si>
    <t>Total Population (M)</t>
  </si>
  <si>
    <t>Token Usage (T's)/Day</t>
  </si>
  <si>
    <t>Retail</t>
  </si>
  <si>
    <t>Enterprise</t>
  </si>
  <si>
    <t>Robotics</t>
  </si>
  <si>
    <t>Mix</t>
  </si>
  <si>
    <t>Total Tokens (B's) per year</t>
  </si>
  <si>
    <t>10Y CAGR</t>
  </si>
  <si>
    <t>Growth</t>
  </si>
  <si>
    <t>Use per day (T's)</t>
  </si>
  <si>
    <t>User Breakdown (tokens/day)</t>
  </si>
  <si>
    <t>Casual</t>
  </si>
  <si>
    <t>2-5 per week</t>
  </si>
  <si>
    <t>Regular</t>
  </si>
  <si>
    <t>5-10 queries per day</t>
  </si>
  <si>
    <t>Power</t>
  </si>
  <si>
    <t>2-3 hours</t>
  </si>
  <si>
    <t>Pro/Prosumer</t>
  </si>
  <si>
    <t>some claude code or heavy research</t>
  </si>
  <si>
    <t>Background multiplier</t>
  </si>
  <si>
    <t>Background tokens not even aware of</t>
  </si>
  <si>
    <t>Background</t>
  </si>
  <si>
    <t>Total Tokens (T's) per year</t>
  </si>
  <si>
    <t>Enterprise Used Per Day (T)</t>
  </si>
  <si>
    <t>Knowledge Workers (M)</t>
  </si>
  <si>
    <t>Tokens/worker per/day</t>
  </si>
  <si>
    <t>Intensity Growth</t>
  </si>
  <si>
    <t>This could be much higher</t>
  </si>
  <si>
    <t>Robotics and Machines</t>
  </si>
  <si>
    <t>Breakdown of Robots (M's)</t>
  </si>
  <si>
    <t>AV</t>
  </si>
  <si>
    <t>Home Robots</t>
  </si>
  <si>
    <t>Humanoid</t>
  </si>
  <si>
    <t>Industrial Robot</t>
  </si>
  <si>
    <t>Large VTOL</t>
  </si>
  <si>
    <t>Prof Service Robots</t>
  </si>
  <si>
    <t>Small Drones</t>
  </si>
  <si>
    <t>Total</t>
  </si>
  <si>
    <t>Usage per day (token) (T's)</t>
  </si>
  <si>
    <t>2 hours per day driving, scaling to 4</t>
  </si>
  <si>
    <t>Only assumes 1-2hrs going to 4-8</t>
  </si>
  <si>
    <t>Roomba, lawnmowers, smart home bots</t>
  </si>
  <si>
    <t>Think Agriculture, hotels, food service, cleaning, customer service</t>
  </si>
  <si>
    <t>More use, from medidan of 2-3 hours, to 2-3x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</si>
</sst>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"/>
    <numFmt numFmtId="165" formatCode="0.0"/>
    <numFmt numFmtId="166" formatCode="0.0%"/>
    <numFmt numFmtId="167" formatCode="0.00\x"/>
    <numFmt numFmtId="168" formatCode="0.000\x"/>
    <numFmt numFmtId="169" formatCode="\$#,##0.0"/>
    <numFmt numFmtId="170" formatCode="_(* #,##0_);_(* \(#,##0\);_(* \-??_);_(@_)"/>
    <numFmt numFmtId="171" formatCode="_(* #,##0.0_);_(* \(#,##0.0\);_(* \-??_);_(@_)"/>
    <numFmt numFmtId="172" formatCode="0.0\x"/>
    <numFmt numFmtId="173" formatCode="_(* #,##0.00_);_(* \(#,##0.00\);_(* \-??_);_(@_)"/>
  </numFmts>
  <fonts count="17" x14ac:knownFonts="1">
    <font>
      <sz val="11"/>
      <color theme="1"/>
      <name val="Aptos Narrow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i/>
      <sz val="8"/>
      <color rgb="FF404040"/>
      <name val="Arial"/>
      <charset val="1"/>
    </font>
    <font>
      <i/>
      <sz val="8"/>
      <color rgb="FF000000"/>
      <name val="Arial"/>
      <charset val="1"/>
    </font>
    <font>
      <sz val="9"/>
      <color rgb="FF000000"/>
      <name val="Arial"/>
      <charset val="1"/>
    </font>
    <font>
      <b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8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D8A"/>
      </patternFill>
    </fill>
    <fill>
      <patternFill patternType="solid">
        <fgColor rgb="FF2E4D8A"/>
        <bgColor rgb="FF156082"/>
      </patternFill>
    </fill>
    <fill>
      <patternFill patternType="solid">
        <fgColor rgb="FFE2EFDA"/>
        <bgColor rgb="FFD5F0F0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F4B183"/>
        <bgColor rgb="FFFF9999"/>
      </patternFill>
    </fill>
    <fill>
      <patternFill patternType="solid">
        <fgColor rgb="FFFCE4D6"/>
        <bgColor rgb="FFFFE0E0"/>
      </patternFill>
    </fill>
    <fill>
      <patternFill patternType="solid">
        <fgColor rgb="FFD5F0F0"/>
        <bgColor rgb="FFE2EFDA"/>
      </patternFill>
    </fill>
    <fill>
      <patternFill patternType="solid">
        <fgColor rgb="FFFF9999"/>
        <bgColor rgb="FFF4B183"/>
      </patternFill>
    </fill>
    <fill>
      <patternFill patternType="solid">
        <fgColor rgb="FFFFE0E0"/>
        <bgColor rgb="FFFCE4D6"/>
      </patternFill>
    </fill>
    <fill>
      <patternFill patternType="solid">
        <fgColor rgb="FFD9D9D9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left" vertical="center" wrapText="1"/>
    </xf>
    <xf numFmtId="165" fontId="6" fillId="6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 wrapText="1"/>
    </xf>
    <xf numFmtId="166" fontId="5" fillId="7" borderId="0" xfId="0" applyNumberFormat="1" applyFont="1" applyFill="1" applyAlignment="1">
      <alignment horizontal="right" vertical="center"/>
    </xf>
    <xf numFmtId="167" fontId="6" fillId="7" borderId="0" xfId="0" applyNumberFormat="1" applyFont="1" applyFill="1" applyAlignment="1">
      <alignment horizontal="right" vertical="center"/>
    </xf>
    <xf numFmtId="167" fontId="5" fillId="7" borderId="0" xfId="0" applyNumberFormat="1" applyFont="1" applyFill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left" vertical="center" wrapText="1"/>
    </xf>
    <xf numFmtId="164" fontId="5" fillId="8" borderId="0" xfId="0" applyNumberFormat="1" applyFont="1" applyFill="1" applyAlignment="1">
      <alignment horizontal="right" vertical="center"/>
    </xf>
    <xf numFmtId="164" fontId="6" fillId="6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left" vertical="center" wrapText="1"/>
    </xf>
    <xf numFmtId="164" fontId="5" fillId="9" borderId="0" xfId="0" applyNumberFormat="1" applyFont="1" applyFill="1" applyAlignment="1">
      <alignment horizontal="right" vertical="center"/>
    </xf>
    <xf numFmtId="166" fontId="5" fillId="9" borderId="0" xfId="0" applyNumberFormat="1" applyFont="1" applyFill="1" applyAlignment="1">
      <alignment horizontal="right" vertical="center"/>
    </xf>
    <xf numFmtId="166" fontId="6" fillId="6" borderId="0" xfId="0" applyNumberFormat="1" applyFont="1" applyFill="1" applyAlignment="1">
      <alignment horizontal="right" vertical="center"/>
    </xf>
    <xf numFmtId="0" fontId="7" fillId="10" borderId="0" xfId="0" applyFont="1" applyFill="1" applyAlignment="1">
      <alignment horizontal="left" vertical="center" wrapText="1"/>
    </xf>
    <xf numFmtId="164" fontId="5" fillId="10" borderId="0" xfId="0" applyNumberFormat="1" applyFont="1" applyFill="1" applyAlignment="1">
      <alignment horizontal="right" vertical="center"/>
    </xf>
    <xf numFmtId="0" fontId="5" fillId="10" borderId="0" xfId="0" applyFont="1" applyFill="1" applyAlignment="1">
      <alignment horizontal="left" vertical="center" wrapText="1"/>
    </xf>
    <xf numFmtId="166" fontId="5" fillId="10" borderId="0" xfId="0" applyNumberFormat="1" applyFont="1" applyFill="1" applyAlignment="1">
      <alignment horizontal="right" vertical="center"/>
    </xf>
    <xf numFmtId="0" fontId="7" fillId="11" borderId="0" xfId="0" applyFont="1" applyFill="1" applyAlignment="1">
      <alignment horizontal="left" vertical="center" wrapText="1"/>
    </xf>
    <xf numFmtId="164" fontId="5" fillId="11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left" vertical="center" wrapText="1"/>
    </xf>
    <xf numFmtId="166" fontId="5" fillId="12" borderId="0" xfId="0" applyNumberFormat="1" applyFont="1" applyFill="1" applyAlignment="1">
      <alignment horizontal="right" vertical="center"/>
    </xf>
    <xf numFmtId="169" fontId="6" fillId="6" borderId="0" xfId="0" applyNumberFormat="1" applyFont="1" applyFill="1" applyAlignment="1">
      <alignment horizontal="right" vertical="center"/>
    </xf>
    <xf numFmtId="9" fontId="6" fillId="6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left" vertical="center" wrapText="1"/>
    </xf>
    <xf numFmtId="169" fontId="5" fillId="7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 wrapText="1"/>
    </xf>
    <xf numFmtId="169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 wrapText="1"/>
    </xf>
    <xf numFmtId="169" fontId="5" fillId="5" borderId="0" xfId="0" applyNumberFormat="1" applyFont="1" applyFill="1" applyAlignment="1">
      <alignment horizontal="right" vertical="center"/>
    </xf>
    <xf numFmtId="0" fontId="8" fillId="13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2" fillId="0" borderId="0" xfId="0" applyFont="1"/>
    <xf numFmtId="170" fontId="12" fillId="0" borderId="0" xfId="0" applyNumberFormat="1" applyFont="1"/>
    <xf numFmtId="170" fontId="13" fillId="0" borderId="0" xfId="0" applyNumberFormat="1" applyFont="1"/>
    <xf numFmtId="170" fontId="0" fillId="0" borderId="0" xfId="0" applyNumberFormat="1"/>
    <xf numFmtId="9" fontId="0" fillId="0" borderId="0" xfId="0" applyNumberFormat="1"/>
    <xf numFmtId="9" fontId="13" fillId="0" borderId="0" xfId="0" applyNumberFormat="1" applyFont="1"/>
    <xf numFmtId="9" fontId="12" fillId="0" borderId="0" xfId="0" applyNumberFormat="1" applyFont="1"/>
    <xf numFmtId="166" fontId="12" fillId="0" borderId="0" xfId="0" applyNumberFormat="1" applyFont="1"/>
    <xf numFmtId="166" fontId="0" fillId="0" borderId="0" xfId="0" applyNumberFormat="1"/>
    <xf numFmtId="166" fontId="13" fillId="0" borderId="0" xfId="0" applyNumberFormat="1" applyFont="1"/>
    <xf numFmtId="0" fontId="0" fillId="0" borderId="0" xfId="0" applyAlignment="1">
      <alignment horizontal="left" indent="1"/>
    </xf>
    <xf numFmtId="171" fontId="0" fillId="0" borderId="0" xfId="0" applyNumberFormat="1"/>
    <xf numFmtId="0" fontId="1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4" fillId="0" borderId="0" xfId="0" applyFont="1"/>
    <xf numFmtId="171" fontId="12" fillId="0" borderId="0" xfId="0" applyNumberFormat="1" applyFont="1"/>
    <xf numFmtId="172" fontId="13" fillId="0" borderId="0" xfId="0" applyNumberFormat="1" applyFont="1"/>
    <xf numFmtId="0" fontId="12" fillId="0" borderId="0" xfId="0" applyFont="1" applyAlignment="1">
      <alignment horizontal="left"/>
    </xf>
    <xf numFmtId="173" fontId="12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173" fontId="0" fillId="0" borderId="0" xfId="0" applyNumberFormat="1"/>
    <xf numFmtId="0" fontId="15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 indent="2"/>
    </xf>
    <xf numFmtId="171" fontId="13" fillId="0" borderId="0" xfId="0" applyNumberFormat="1" applyFont="1"/>
    <xf numFmtId="0" fontId="12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D9D9D9"/>
      <rgbColor rgb="FF808080"/>
      <rgbColor rgb="FF9999FF"/>
      <rgbColor rgb="FF993366"/>
      <rgbColor rgb="FFF2F2F2"/>
      <rgbColor rgb="FFD5F0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FFE0E0"/>
      <rgbColor rgb="FFE2EFDA"/>
      <rgbColor rgb="FFFCE4D6"/>
      <rgbColor rgb="FF99CCFF"/>
      <rgbColor rgb="FFFF9999"/>
      <rgbColor rgb="FFCC99FF"/>
      <rgbColor rgb="FFF4B183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4D8A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Base!$A$9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Base!$B$1:$S$1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Base!$B$9:$S$9</c:f>
              <c:numCache>
                <c:formatCode>_(* #,##0.0_);_(* \(#,##0.0\);_(* \-??_);_(@_)</c:formatCode>
                <c:ptCount val="18"/>
                <c:pt idx="0">
                  <c:v>38.94</c:v>
                </c:pt>
                <c:pt idx="1">
                  <c:v>68.217187499999994</c:v>
                </c:pt>
                <c:pt idx="2">
                  <c:v>115.15334118750003</c:v>
                </c:pt>
                <c:pt idx="3">
                  <c:v>186.96531865429696</c:v>
                </c:pt>
                <c:pt idx="4">
                  <c:v>292.41433856250018</c:v>
                </c:pt>
                <c:pt idx="5">
                  <c:v>445.51066401349675</c:v>
                </c:pt>
                <c:pt idx="6">
                  <c:v>639.10666091627706</c:v>
                </c:pt>
                <c:pt idx="7">
                  <c:v>746.08837446584744</c:v>
                </c:pt>
                <c:pt idx="8">
                  <c:v>926.61989337016462</c:v>
                </c:pt>
                <c:pt idx="9">
                  <c:v>1233.7761236247138</c:v>
                </c:pt>
                <c:pt idx="10">
                  <c:v>1547.1550508663265</c:v>
                </c:pt>
                <c:pt idx="11">
                  <c:v>1913.060750253554</c:v>
                </c:pt>
                <c:pt idx="12">
                  <c:v>2338.38377678292</c:v>
                </c:pt>
                <c:pt idx="13">
                  <c:v>2781.9932735198427</c:v>
                </c:pt>
                <c:pt idx="14">
                  <c:v>3285.5582597758034</c:v>
                </c:pt>
                <c:pt idx="15">
                  <c:v>3703.0666983040837</c:v>
                </c:pt>
                <c:pt idx="16">
                  <c:v>4167.7848471876287</c:v>
                </c:pt>
                <c:pt idx="17">
                  <c:v>4607.8331135002263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1-46B0-A39F-AEE3ECE7FD78}"/>
            </c:ext>
          </c:extLst>
        </c:ser>
        <c:ser>
          <c:idx val="1"/>
          <c:order val="1"/>
          <c:tx>
            <c:strRef>
              <c:f>Base!$A$10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Base!$B$1:$S$1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Base!$B$10:$S$10</c:f>
              <c:numCache>
                <c:formatCode>_(* #,##0.0_);_(* \(#,##0.0\);_(* \-??_);_(@_)</c:formatCode>
                <c:ptCount val="18"/>
                <c:pt idx="0">
                  <c:v>85</c:v>
                </c:pt>
                <c:pt idx="1">
                  <c:v>373.44749999999999</c:v>
                </c:pt>
                <c:pt idx="2">
                  <c:v>616.06389249999995</c:v>
                </c:pt>
                <c:pt idx="3">
                  <c:v>1120.0041565649999</c:v>
                </c:pt>
                <c:pt idx="4">
                  <c:v>1797.3577814742548</c:v>
                </c:pt>
                <c:pt idx="5">
                  <c:v>2681.7395080405645</c:v>
                </c:pt>
                <c:pt idx="6">
                  <c:v>3750.3095581674966</c:v>
                </c:pt>
                <c:pt idx="7">
                  <c:v>4936.7824920530875</c:v>
                </c:pt>
                <c:pt idx="8">
                  <c:v>6130.0318602793313</c:v>
                </c:pt>
                <c:pt idx="9">
                  <c:v>7390.4954640550841</c:v>
                </c:pt>
                <c:pt idx="10">
                  <c:v>8584.0604814999788</c:v>
                </c:pt>
                <c:pt idx="11">
                  <c:v>9894.9958050334026</c:v>
                </c:pt>
                <c:pt idx="12">
                  <c:v>11333.134495336957</c:v>
                </c:pt>
                <c:pt idx="13">
                  <c:v>12909.069808771868</c:v>
                </c:pt>
                <c:pt idx="14">
                  <c:v>13784.482797941895</c:v>
                </c:pt>
                <c:pt idx="15">
                  <c:v>14718.570336033938</c:v>
                </c:pt>
                <c:pt idx="16">
                  <c:v>15715.227813073954</c:v>
                </c:pt>
                <c:pt idx="17">
                  <c:v>16778.607197763344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1-46B0-A39F-AEE3ECE7FD78}"/>
            </c:ext>
          </c:extLst>
        </c:ser>
        <c:ser>
          <c:idx val="2"/>
          <c:order val="2"/>
          <c:tx>
            <c:strRef>
              <c:f>Base!$A$11</c:f>
              <c:strCache>
                <c:ptCount val="1"/>
                <c:pt idx="0">
                  <c:v>Robotics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Base!$B$1:$S$1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Base!$B$11:$S$11</c:f>
              <c:numCache>
                <c:formatCode>_(* #,##0.0_);_(* \(#,##0.0\);_(* \-??_);_(@_)</c:formatCode>
                <c:ptCount val="18"/>
                <c:pt idx="0">
                  <c:v>0.36219999999999997</c:v>
                </c:pt>
                <c:pt idx="1">
                  <c:v>0.57464999999999999</c:v>
                </c:pt>
                <c:pt idx="2">
                  <c:v>0.99058600000000008</c:v>
                </c:pt>
                <c:pt idx="3">
                  <c:v>1.8427155600000003</c:v>
                </c:pt>
                <c:pt idx="4">
                  <c:v>3.2722687048000001</c:v>
                </c:pt>
                <c:pt idx="5">
                  <c:v>4.8309945287680005</c:v>
                </c:pt>
                <c:pt idx="6">
                  <c:v>9.3193790294441605</c:v>
                </c:pt>
                <c:pt idx="7">
                  <c:v>15.068007650695595</c:v>
                </c:pt>
                <c:pt idx="8">
                  <c:v>25.249636081089882</c:v>
                </c:pt>
                <c:pt idx="9">
                  <c:v>37.950108033302442</c:v>
                </c:pt>
                <c:pt idx="10">
                  <c:v>67.278751745374436</c:v>
                </c:pt>
                <c:pt idx="11">
                  <c:v>103.47281130363126</c:v>
                </c:pt>
                <c:pt idx="12">
                  <c:v>173.46365339919205</c:v>
                </c:pt>
                <c:pt idx="13">
                  <c:v>259.34412551502766</c:v>
                </c:pt>
                <c:pt idx="14">
                  <c:v>407.3427489006408</c:v>
                </c:pt>
                <c:pt idx="15">
                  <c:v>588.24675169286741</c:v>
                </c:pt>
                <c:pt idx="16">
                  <c:v>840.4426816755755</c:v>
                </c:pt>
                <c:pt idx="17">
                  <c:v>1146.5665906843305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1-46B0-A39F-AEE3ECE7F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05719"/>
        <c:axId val="31832863"/>
      </c:barChart>
      <c:catAx>
        <c:axId val="956057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31832863"/>
        <c:crosses val="autoZero"/>
        <c:auto val="1"/>
        <c:lblAlgn val="ctr"/>
        <c:lblOffset val="100"/>
        <c:noMultiLvlLbl val="0"/>
      </c:catAx>
      <c:valAx>
        <c:axId val="31832863"/>
        <c:scaling>
          <c:orientation val="minMax"/>
        </c:scaling>
        <c:delete val="0"/>
        <c:axPos val="l"/>
        <c:numFmt formatCode="_(* #,##0.0_);_(* \(#,##0.0\);_(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95605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'Robo Bull'!$A$9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'Robo Bull'!$B$1:$S$1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'Robo Bull'!$B$9:$S$9</c:f>
              <c:numCache>
                <c:formatCode>_(* #,##0.0_);_(* \(#,##0.0\);_(* \-??_);_(@_)</c:formatCode>
                <c:ptCount val="18"/>
                <c:pt idx="0">
                  <c:v>26.549999999999997</c:v>
                </c:pt>
                <c:pt idx="1">
                  <c:v>44.840249999999997</c:v>
                </c:pt>
                <c:pt idx="2">
                  <c:v>72.945258750000008</c:v>
                </c:pt>
                <c:pt idx="3">
                  <c:v>118.02511423828129</c:v>
                </c:pt>
                <c:pt idx="4">
                  <c:v>184.15631898193368</c:v>
                </c:pt>
                <c:pt idx="5">
                  <c:v>280.09363662803668</c:v>
                </c:pt>
                <c:pt idx="6">
                  <c:v>401.28745178627952</c:v>
                </c:pt>
                <c:pt idx="7">
                  <c:v>569.3772635783755</c:v>
                </c:pt>
                <c:pt idx="8">
                  <c:v>728.3718946708392</c:v>
                </c:pt>
                <c:pt idx="9">
                  <c:v>948.79871434908534</c:v>
                </c:pt>
                <c:pt idx="10">
                  <c:v>1234.9715776925211</c:v>
                </c:pt>
                <c:pt idx="11">
                  <c:v>1587.0631395601849</c:v>
                </c:pt>
                <c:pt idx="12">
                  <c:v>2018.6328934527623</c:v>
                </c:pt>
                <c:pt idx="13">
                  <c:v>2545.8600791241047</c:v>
                </c:pt>
                <c:pt idx="14">
                  <c:v>3188.030037088361</c:v>
                </c:pt>
                <c:pt idx="15">
                  <c:v>3968.108393620581</c:v>
                </c:pt>
                <c:pt idx="16">
                  <c:v>4913.41861903674</c:v>
                </c:pt>
                <c:pt idx="17">
                  <c:v>5834.7316311129553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D-496E-A358-A66139FFEA2D}"/>
            </c:ext>
          </c:extLst>
        </c:ser>
        <c:ser>
          <c:idx val="1"/>
          <c:order val="1"/>
          <c:tx>
            <c:strRef>
              <c:f>'Robo Bull'!$A$10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'Robo Bull'!$B$1:$S$1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'Robo Bull'!$B$10:$S$10</c:f>
              <c:numCache>
                <c:formatCode>_(* #,##0.0_);_(* \(#,##0.0\);_(* \-??_);_(@_)</c:formatCode>
                <c:ptCount val="18"/>
                <c:pt idx="0">
                  <c:v>26.549999999999997</c:v>
                </c:pt>
                <c:pt idx="1">
                  <c:v>62.346037499999994</c:v>
                </c:pt>
                <c:pt idx="2">
                  <c:v>125.93899574999999</c:v>
                </c:pt>
                <c:pt idx="3">
                  <c:v>276.6564889138125</c:v>
                </c:pt>
                <c:pt idx="4">
                  <c:v>521.58970043217437</c:v>
                </c:pt>
                <c:pt idx="5">
                  <c:v>888.98444567408728</c:v>
                </c:pt>
                <c:pt idx="6">
                  <c:v>1400.6838926040921</c:v>
                </c:pt>
                <c:pt idx="7">
                  <c:v>2063.0906501481104</c:v>
                </c:pt>
                <c:pt idx="8">
                  <c:v>2857.6752776908688</c:v>
                </c:pt>
                <c:pt idx="9">
                  <c:v>3734.088564417686</c:v>
                </c:pt>
                <c:pt idx="10">
                  <c:v>4609.5248834089452</c:v>
                </c:pt>
                <c:pt idx="11">
                  <c:v>5530.8767171047257</c:v>
                </c:pt>
                <c:pt idx="12">
                  <c:v>6398.7215547158858</c:v>
                </c:pt>
                <c:pt idx="13">
                  <c:v>7351.331226174213</c:v>
                </c:pt>
                <c:pt idx="14">
                  <c:v>8395.7857473083513</c:v>
                </c:pt>
                <c:pt idx="15">
                  <c:v>9539.7115553791136</c:v>
                </c:pt>
                <c:pt idx="16">
                  <c:v>10791.321711444854</c:v>
                </c:pt>
                <c:pt idx="17">
                  <c:v>12159.458967173974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D-496E-A358-A66139FFEA2D}"/>
            </c:ext>
          </c:extLst>
        </c:ser>
        <c:ser>
          <c:idx val="2"/>
          <c:order val="2"/>
          <c:tx>
            <c:strRef>
              <c:f>'Robo Bull'!$A$11</c:f>
              <c:strCache>
                <c:ptCount val="1"/>
                <c:pt idx="0">
                  <c:v>Robotics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'Robo Bull'!$B$1:$S$1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'Robo Bull'!$B$11:$S$11</c:f>
              <c:numCache>
                <c:formatCode>_(* #,##0.0_);_(* \(#,##0.0\);_(* \-??_);_(@_)</c:formatCode>
                <c:ptCount val="18"/>
                <c:pt idx="0">
                  <c:v>0.36219999999999997</c:v>
                </c:pt>
                <c:pt idx="1">
                  <c:v>0.58065</c:v>
                </c:pt>
                <c:pt idx="2">
                  <c:v>1.018186</c:v>
                </c:pt>
                <c:pt idx="3">
                  <c:v>1.9618155600000002</c:v>
                </c:pt>
                <c:pt idx="4">
                  <c:v>3.5794047048000004</c:v>
                </c:pt>
                <c:pt idx="5">
                  <c:v>6.5285705287680011</c:v>
                </c:pt>
                <c:pt idx="6">
                  <c:v>13.11977472944416</c:v>
                </c:pt>
                <c:pt idx="7">
                  <c:v>26.42112419069559</c:v>
                </c:pt>
                <c:pt idx="8">
                  <c:v>55.80993484708987</c:v>
                </c:pt>
                <c:pt idx="9">
                  <c:v>120.51225695470242</c:v>
                </c:pt>
                <c:pt idx="10">
                  <c:v>270.54465564620438</c:v>
                </c:pt>
                <c:pt idx="11">
                  <c:v>618.18215255225914</c:v>
                </c:pt>
                <c:pt idx="12">
                  <c:v>1324.3409315688275</c:v>
                </c:pt>
                <c:pt idx="13">
                  <c:v>2858.9386532903304</c:v>
                </c:pt>
                <c:pt idx="14">
                  <c:v>6214.1729215640362</c:v>
                </c:pt>
                <c:pt idx="15">
                  <c:v>13559.603795514873</c:v>
                </c:pt>
                <c:pt idx="16">
                  <c:v>29668.749465419038</c:v>
                </c:pt>
                <c:pt idx="17">
                  <c:v>48873.499491895316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5D-496E-A358-A66139FFE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282171"/>
        <c:axId val="85029683"/>
      </c:barChart>
      <c:catAx>
        <c:axId val="342821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85029683"/>
        <c:crosses val="autoZero"/>
        <c:auto val="1"/>
        <c:lblAlgn val="ctr"/>
        <c:lblOffset val="100"/>
        <c:noMultiLvlLbl val="0"/>
      </c:catAx>
      <c:valAx>
        <c:axId val="85029683"/>
        <c:scaling>
          <c:orientation val="minMax"/>
        </c:scaling>
        <c:delete val="0"/>
        <c:axPos val="l"/>
        <c:numFmt formatCode="_(* #,##0.0_);_(* \(#,##0.0\);_(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342821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Base!$A$9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Base!$B$1:$S$1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Base!$B$9:$S$9</c:f>
              <c:numCache>
                <c:formatCode>_(* #,##0.0_);_(* \(#,##0.0\);_(* \-??_);_(@_)</c:formatCode>
                <c:ptCount val="18"/>
                <c:pt idx="0">
                  <c:v>38.94</c:v>
                </c:pt>
                <c:pt idx="1">
                  <c:v>68.217187499999994</c:v>
                </c:pt>
                <c:pt idx="2">
                  <c:v>115.15334118750003</c:v>
                </c:pt>
                <c:pt idx="3">
                  <c:v>186.96531865429696</c:v>
                </c:pt>
                <c:pt idx="4">
                  <c:v>292.41433856250018</c:v>
                </c:pt>
                <c:pt idx="5">
                  <c:v>445.51066401349675</c:v>
                </c:pt>
                <c:pt idx="6">
                  <c:v>639.10666091627706</c:v>
                </c:pt>
                <c:pt idx="7">
                  <c:v>746.08837446584744</c:v>
                </c:pt>
                <c:pt idx="8">
                  <c:v>926.61989337016462</c:v>
                </c:pt>
                <c:pt idx="9">
                  <c:v>1233.7761236247138</c:v>
                </c:pt>
                <c:pt idx="10">
                  <c:v>1547.1550508663265</c:v>
                </c:pt>
                <c:pt idx="11">
                  <c:v>1913.060750253554</c:v>
                </c:pt>
                <c:pt idx="12">
                  <c:v>2338.38377678292</c:v>
                </c:pt>
                <c:pt idx="13">
                  <c:v>2781.9932735198427</c:v>
                </c:pt>
                <c:pt idx="14">
                  <c:v>3285.5582597758034</c:v>
                </c:pt>
                <c:pt idx="15">
                  <c:v>3703.0666983040837</c:v>
                </c:pt>
                <c:pt idx="16">
                  <c:v>4167.7848471876287</c:v>
                </c:pt>
                <c:pt idx="17">
                  <c:v>4607.8331135002263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C-4EDA-9246-3EF894CD8205}"/>
            </c:ext>
          </c:extLst>
        </c:ser>
        <c:ser>
          <c:idx val="1"/>
          <c:order val="1"/>
          <c:tx>
            <c:strRef>
              <c:f>Base!$A$10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Base!$B$1:$S$1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Base!$B$10:$S$10</c:f>
              <c:numCache>
                <c:formatCode>_(* #,##0.0_);_(* \(#,##0.0\);_(* \-??_);_(@_)</c:formatCode>
                <c:ptCount val="18"/>
                <c:pt idx="0">
                  <c:v>85</c:v>
                </c:pt>
                <c:pt idx="1">
                  <c:v>373.44749999999999</c:v>
                </c:pt>
                <c:pt idx="2">
                  <c:v>616.06389249999995</c:v>
                </c:pt>
                <c:pt idx="3">
                  <c:v>1120.0041565649999</c:v>
                </c:pt>
                <c:pt idx="4">
                  <c:v>1797.3577814742548</c:v>
                </c:pt>
                <c:pt idx="5">
                  <c:v>2681.7395080405645</c:v>
                </c:pt>
                <c:pt idx="6">
                  <c:v>3750.3095581674966</c:v>
                </c:pt>
                <c:pt idx="7">
                  <c:v>4936.7824920530875</c:v>
                </c:pt>
                <c:pt idx="8">
                  <c:v>6130.0318602793313</c:v>
                </c:pt>
                <c:pt idx="9">
                  <c:v>7390.4954640550841</c:v>
                </c:pt>
                <c:pt idx="10">
                  <c:v>8584.0604814999788</c:v>
                </c:pt>
                <c:pt idx="11">
                  <c:v>9894.9958050334026</c:v>
                </c:pt>
                <c:pt idx="12">
                  <c:v>11333.134495336957</c:v>
                </c:pt>
                <c:pt idx="13">
                  <c:v>12909.069808771868</c:v>
                </c:pt>
                <c:pt idx="14">
                  <c:v>13784.482797941895</c:v>
                </c:pt>
                <c:pt idx="15">
                  <c:v>14718.570336033938</c:v>
                </c:pt>
                <c:pt idx="16">
                  <c:v>15715.227813073954</c:v>
                </c:pt>
                <c:pt idx="17">
                  <c:v>16778.607197763344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C-4EDA-9246-3EF894CD8205}"/>
            </c:ext>
          </c:extLst>
        </c:ser>
        <c:ser>
          <c:idx val="2"/>
          <c:order val="2"/>
          <c:tx>
            <c:strRef>
              <c:f>Base!$A$11</c:f>
              <c:strCache>
                <c:ptCount val="1"/>
                <c:pt idx="0">
                  <c:v>Robotics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Base!$B$1:$S$1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Base!$B$11:$S$11</c:f>
              <c:numCache>
                <c:formatCode>_(* #,##0.0_);_(* \(#,##0.0\);_(* \-??_);_(@_)</c:formatCode>
                <c:ptCount val="18"/>
                <c:pt idx="0">
                  <c:v>0.36219999999999997</c:v>
                </c:pt>
                <c:pt idx="1">
                  <c:v>0.57464999999999999</c:v>
                </c:pt>
                <c:pt idx="2">
                  <c:v>0.99058600000000008</c:v>
                </c:pt>
                <c:pt idx="3">
                  <c:v>1.8427155600000003</c:v>
                </c:pt>
                <c:pt idx="4">
                  <c:v>3.2722687048000001</c:v>
                </c:pt>
                <c:pt idx="5">
                  <c:v>4.8309945287680005</c:v>
                </c:pt>
                <c:pt idx="6">
                  <c:v>9.3193790294441605</c:v>
                </c:pt>
                <c:pt idx="7">
                  <c:v>15.068007650695595</c:v>
                </c:pt>
                <c:pt idx="8">
                  <c:v>25.249636081089882</c:v>
                </c:pt>
                <c:pt idx="9">
                  <c:v>37.950108033302442</c:v>
                </c:pt>
                <c:pt idx="10">
                  <c:v>67.278751745374436</c:v>
                </c:pt>
                <c:pt idx="11">
                  <c:v>103.47281130363126</c:v>
                </c:pt>
                <c:pt idx="12">
                  <c:v>173.46365339919205</c:v>
                </c:pt>
                <c:pt idx="13">
                  <c:v>259.34412551502766</c:v>
                </c:pt>
                <c:pt idx="14">
                  <c:v>407.3427489006408</c:v>
                </c:pt>
                <c:pt idx="15">
                  <c:v>588.24675169286741</c:v>
                </c:pt>
                <c:pt idx="16">
                  <c:v>840.4426816755755</c:v>
                </c:pt>
                <c:pt idx="17">
                  <c:v>1146.5665906843305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DC-4EDA-9246-3EF894CD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31132"/>
        <c:axId val="61573553"/>
      </c:barChart>
      <c:catAx>
        <c:axId val="879311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1573553"/>
        <c:crosses val="autoZero"/>
        <c:auto val="1"/>
        <c:lblAlgn val="ctr"/>
        <c:lblOffset val="100"/>
        <c:noMultiLvlLbl val="0"/>
      </c:catAx>
      <c:valAx>
        <c:axId val="61573553"/>
        <c:scaling>
          <c:orientation val="minMax"/>
        </c:scaling>
        <c:delete val="0"/>
        <c:axPos val="l"/>
        <c:numFmt formatCode="_(* #,##0.0_);_(* \(#,##0.0\);_(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87931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537840</xdr:colOff>
      <xdr:row>3</xdr:row>
      <xdr:rowOff>67320</xdr:rowOff>
    </xdr:from>
    <xdr:to>
      <xdr:col>33</xdr:col>
      <xdr:colOff>77400</xdr:colOff>
      <xdr:row>25</xdr:row>
      <xdr:rowOff>99720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537840</xdr:colOff>
      <xdr:row>3</xdr:row>
      <xdr:rowOff>67320</xdr:rowOff>
    </xdr:from>
    <xdr:to>
      <xdr:col>33</xdr:col>
      <xdr:colOff>77400</xdr:colOff>
      <xdr:row>25</xdr:row>
      <xdr:rowOff>99720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537840</xdr:colOff>
      <xdr:row>3</xdr:row>
      <xdr:rowOff>67320</xdr:rowOff>
    </xdr:from>
    <xdr:to>
      <xdr:col>33</xdr:col>
      <xdr:colOff>77400</xdr:colOff>
      <xdr:row>25</xdr:row>
      <xdr:rowOff>99720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A2" sqref="A2"/>
    </sheetView>
  </sheetViews>
  <sheetFormatPr defaultColWidth="8.54296875" defaultRowHeight="14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7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T1"/>
    </sheetView>
  </sheetViews>
  <sheetFormatPr defaultColWidth="8.54296875" defaultRowHeight="14.5" x14ac:dyDescent="0.35"/>
  <cols>
    <col min="1" max="1" width="54" customWidth="1"/>
    <col min="2" max="2" width="10" customWidth="1"/>
    <col min="3" max="20" width="9" customWidth="1"/>
  </cols>
  <sheetData>
    <row r="1" spans="1:20" ht="25.5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3.5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8" customHeight="1" x14ac:dyDescent="0.35">
      <c r="A3" s="8" t="s">
        <v>2</v>
      </c>
      <c r="B3" s="8" t="s">
        <v>3</v>
      </c>
      <c r="C3" s="9">
        <v>2025</v>
      </c>
      <c r="D3" s="9">
        <v>2026</v>
      </c>
      <c r="E3" s="9">
        <v>2027</v>
      </c>
      <c r="F3" s="9">
        <v>2028</v>
      </c>
      <c r="G3" s="9">
        <v>2029</v>
      </c>
      <c r="H3" s="9">
        <v>2030</v>
      </c>
      <c r="I3" s="9">
        <v>2031</v>
      </c>
      <c r="J3" s="9">
        <v>2032</v>
      </c>
      <c r="K3" s="9">
        <v>2033</v>
      </c>
      <c r="L3" s="9">
        <v>2034</v>
      </c>
      <c r="M3" s="9">
        <v>2035</v>
      </c>
      <c r="N3" s="9">
        <v>2036</v>
      </c>
      <c r="O3" s="9">
        <v>2037</v>
      </c>
      <c r="P3" s="9">
        <v>2038</v>
      </c>
      <c r="Q3" s="9">
        <v>2039</v>
      </c>
      <c r="R3" s="9">
        <v>2040</v>
      </c>
      <c r="S3" s="9">
        <v>2041</v>
      </c>
      <c r="T3" s="9">
        <v>2042</v>
      </c>
    </row>
    <row r="4" spans="1:20" ht="18" customHeight="1" x14ac:dyDescent="0.35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customHeight="1" x14ac:dyDescent="0.35">
      <c r="A5" s="10" t="s">
        <v>5</v>
      </c>
      <c r="B5" s="11" t="s">
        <v>6</v>
      </c>
      <c r="C5" s="12">
        <f>Base!B7</f>
        <v>124.3022</v>
      </c>
      <c r="D5" s="12">
        <f>Base!C7</f>
        <v>442.23933750000003</v>
      </c>
      <c r="E5" s="12">
        <f>Base!D7</f>
        <v>732.20781968749998</v>
      </c>
      <c r="F5" s="12">
        <f>Base!E7</f>
        <v>1308.8121907792968</v>
      </c>
      <c r="G5" s="12">
        <f>Base!F7</f>
        <v>2093.0443887415549</v>
      </c>
      <c r="H5" s="12">
        <f>Base!G7</f>
        <v>3132.0811665828292</v>
      </c>
      <c r="I5" s="12">
        <f>Base!H7</f>
        <v>4398.7355981132177</v>
      </c>
      <c r="J5" s="12">
        <f>Base!I7</f>
        <v>5697.9388741696312</v>
      </c>
      <c r="K5" s="12">
        <f>Base!J7</f>
        <v>7081.9013897305858</v>
      </c>
      <c r="L5" s="12">
        <f>Base!K7</f>
        <v>8662.2216957131004</v>
      </c>
      <c r="M5" s="12">
        <f>Base!L7</f>
        <v>10198.494284111679</v>
      </c>
      <c r="N5" s="12">
        <f>Base!M7</f>
        <v>11911.529366590587</v>
      </c>
      <c r="O5" s="12">
        <f>Base!N7</f>
        <v>13844.981925519069</v>
      </c>
      <c r="P5" s="12">
        <f>Base!O7</f>
        <v>15950.40720780674</v>
      </c>
      <c r="Q5" s="12">
        <f>Base!P7</f>
        <v>17477.383806618338</v>
      </c>
      <c r="R5" s="12">
        <f>Base!Q7</f>
        <v>19009.883786030889</v>
      </c>
      <c r="S5" s="12">
        <f>Base!R7</f>
        <v>20723.455341937159</v>
      </c>
      <c r="T5" s="12">
        <f>Base!S7</f>
        <v>22533.006901947901</v>
      </c>
    </row>
    <row r="6" spans="1:20" ht="15" customHeight="1" x14ac:dyDescent="0.35">
      <c r="A6" s="10" t="s">
        <v>7</v>
      </c>
      <c r="B6" s="11" t="s">
        <v>6</v>
      </c>
      <c r="C6" s="12">
        <f>Base!B10</f>
        <v>85</v>
      </c>
      <c r="D6" s="12">
        <f>Base!C10</f>
        <v>373.44749999999999</v>
      </c>
      <c r="E6" s="12">
        <f>Base!D10</f>
        <v>616.06389249999995</v>
      </c>
      <c r="F6" s="12">
        <f>Base!E10</f>
        <v>1120.0041565649999</v>
      </c>
      <c r="G6" s="12">
        <f>Base!F10</f>
        <v>1797.3577814742548</v>
      </c>
      <c r="H6" s="12">
        <f>Base!G10</f>
        <v>2681.7395080405645</v>
      </c>
      <c r="I6" s="12">
        <f>Base!H10</f>
        <v>3750.3095581674966</v>
      </c>
      <c r="J6" s="12">
        <f>Base!I10</f>
        <v>4936.7824920530875</v>
      </c>
      <c r="K6" s="12">
        <f>Base!J10</f>
        <v>6130.0318602793313</v>
      </c>
      <c r="L6" s="12">
        <f>Base!K10</f>
        <v>7390.4954640550841</v>
      </c>
      <c r="M6" s="12">
        <f>Base!L10</f>
        <v>8584.0604814999788</v>
      </c>
      <c r="N6" s="12">
        <f>Base!M10</f>
        <v>9894.9958050334026</v>
      </c>
      <c r="O6" s="12">
        <f>Base!N10</f>
        <v>11333.134495336957</v>
      </c>
      <c r="P6" s="12">
        <f>Base!O10</f>
        <v>12909.069808771868</v>
      </c>
      <c r="Q6" s="12">
        <f>Base!P10</f>
        <v>13784.482797941895</v>
      </c>
      <c r="R6" s="12">
        <f>Base!Q10</f>
        <v>14718.570336033938</v>
      </c>
      <c r="S6" s="12">
        <f>Base!R10</f>
        <v>15715.227813073954</v>
      </c>
      <c r="T6" s="12">
        <f>Base!S10</f>
        <v>16778.607197763344</v>
      </c>
    </row>
    <row r="7" spans="1:20" ht="15" customHeight="1" x14ac:dyDescent="0.35">
      <c r="A7" s="10" t="s">
        <v>8</v>
      </c>
      <c r="B7" s="11" t="s">
        <v>6</v>
      </c>
      <c r="C7" s="12">
        <f>Base!B9</f>
        <v>38.94</v>
      </c>
      <c r="D7" s="12">
        <f>Base!C9</f>
        <v>68.217187499999994</v>
      </c>
      <c r="E7" s="12">
        <f>Base!D9</f>
        <v>115.15334118750003</v>
      </c>
      <c r="F7" s="12">
        <f>Base!E9</f>
        <v>186.96531865429696</v>
      </c>
      <c r="G7" s="12">
        <f>Base!F9</f>
        <v>292.41433856250018</v>
      </c>
      <c r="H7" s="12">
        <f>Base!G9</f>
        <v>445.51066401349675</v>
      </c>
      <c r="I7" s="12">
        <f>Base!H9</f>
        <v>639.10666091627706</v>
      </c>
      <c r="J7" s="12">
        <f>Base!I9</f>
        <v>746.08837446584744</v>
      </c>
      <c r="K7" s="12">
        <f>Base!J9</f>
        <v>926.61989337016462</v>
      </c>
      <c r="L7" s="12">
        <f>Base!K9</f>
        <v>1233.7761236247138</v>
      </c>
      <c r="M7" s="12">
        <f>Base!L9</f>
        <v>1547.1550508663265</v>
      </c>
      <c r="N7" s="12">
        <f>Base!M9</f>
        <v>1913.060750253554</v>
      </c>
      <c r="O7" s="12">
        <f>Base!N9</f>
        <v>2338.38377678292</v>
      </c>
      <c r="P7" s="12">
        <f>Base!O9</f>
        <v>2781.9932735198427</v>
      </c>
      <c r="Q7" s="12">
        <f>Base!P9</f>
        <v>3285.5582597758034</v>
      </c>
      <c r="R7" s="12">
        <f>Base!Q9</f>
        <v>3703.0666983040837</v>
      </c>
      <c r="S7" s="12">
        <f>Base!R9</f>
        <v>4167.7848471876287</v>
      </c>
      <c r="T7" s="12">
        <f>Base!S9</f>
        <v>4607.8331135002263</v>
      </c>
    </row>
    <row r="8" spans="1:20" ht="15" customHeight="1" x14ac:dyDescent="0.35">
      <c r="A8" s="10" t="s">
        <v>9</v>
      </c>
      <c r="B8" s="11" t="s">
        <v>6</v>
      </c>
      <c r="C8" s="12">
        <f>Base!B11</f>
        <v>0.36219999999999997</v>
      </c>
      <c r="D8" s="12">
        <f>Base!C11</f>
        <v>0.57464999999999999</v>
      </c>
      <c r="E8" s="12">
        <f>Base!D11</f>
        <v>0.99058600000000008</v>
      </c>
      <c r="F8" s="12">
        <f>Base!E11</f>
        <v>1.8427155600000003</v>
      </c>
      <c r="G8" s="12">
        <f>Base!F11</f>
        <v>3.2722687048000001</v>
      </c>
      <c r="H8" s="12">
        <f>Base!G11</f>
        <v>4.8309945287680005</v>
      </c>
      <c r="I8" s="12">
        <f>Base!H11</f>
        <v>9.3193790294441605</v>
      </c>
      <c r="J8" s="12">
        <f>Base!I11</f>
        <v>15.068007650695595</v>
      </c>
      <c r="K8" s="12">
        <f>Base!J11</f>
        <v>25.249636081089882</v>
      </c>
      <c r="L8" s="12">
        <f>Base!K11</f>
        <v>37.950108033302442</v>
      </c>
      <c r="M8" s="12">
        <f>Base!L11</f>
        <v>67.278751745374436</v>
      </c>
      <c r="N8" s="12">
        <f>Base!M11</f>
        <v>103.47281130363126</v>
      </c>
      <c r="O8" s="12">
        <f>Base!N11</f>
        <v>173.46365339919205</v>
      </c>
      <c r="P8" s="12">
        <f>Base!O11</f>
        <v>259.34412551502766</v>
      </c>
      <c r="Q8" s="12">
        <f>Base!P11</f>
        <v>407.3427489006408</v>
      </c>
      <c r="R8" s="12">
        <f>Base!Q11</f>
        <v>588.24675169286741</v>
      </c>
      <c r="S8" s="12">
        <f>Base!R11</f>
        <v>840.4426816755755</v>
      </c>
      <c r="T8" s="12">
        <f>Base!S11</f>
        <v>1146.5665906843305</v>
      </c>
    </row>
    <row r="9" spans="1:20" ht="15" customHeight="1" x14ac:dyDescent="0.35">
      <c r="A9" s="10" t="s">
        <v>10</v>
      </c>
      <c r="B9" s="11" t="s">
        <v>11</v>
      </c>
      <c r="C9" s="13">
        <f>Base!B2</f>
        <v>1100</v>
      </c>
      <c r="D9" s="13">
        <f>Base!C2</f>
        <v>1485</v>
      </c>
      <c r="E9" s="13">
        <f>Base!D2</f>
        <v>2004.7500000000002</v>
      </c>
      <c r="F9" s="13">
        <f>Base!E2</f>
        <v>2505.9375000000005</v>
      </c>
      <c r="G9" s="13">
        <f>Base!F2</f>
        <v>3132.4218750000005</v>
      </c>
      <c r="H9" s="13">
        <f>Base!G2</f>
        <v>3915.5273437500005</v>
      </c>
      <c r="I9" s="13">
        <f>Base!H2</f>
        <v>4698.6328125</v>
      </c>
      <c r="J9" s="13">
        <f>Base!I2</f>
        <v>4657.2778072903693</v>
      </c>
      <c r="K9" s="13">
        <f>Base!J2</f>
        <v>4969.6736725178462</v>
      </c>
      <c r="L9" s="13">
        <f>Base!K2</f>
        <v>5590.8828815825773</v>
      </c>
      <c r="M9" s="13">
        <f>Base!L2</f>
        <v>5930.8085607827979</v>
      </c>
      <c r="N9" s="13">
        <f>Base!M2</f>
        <v>6282.094913998395</v>
      </c>
      <c r="O9" s="13">
        <f>Base!N2</f>
        <v>6645.0603979183024</v>
      </c>
      <c r="P9" s="13">
        <f>Base!O2</f>
        <v>6898.9966345530374</v>
      </c>
      <c r="Q9" s="13">
        <f>Base!P2</f>
        <v>7160.4322964939947</v>
      </c>
      <c r="R9" s="13">
        <f>Base!Q2</f>
        <v>7429.5657862587686</v>
      </c>
      <c r="S9" s="13">
        <f>Base!R2</f>
        <v>7706.600442695536</v>
      </c>
      <c r="T9" s="13">
        <f>Base!S2</f>
        <v>7860.7324515494465</v>
      </c>
    </row>
    <row r="10" spans="1:20" ht="15" customHeight="1" x14ac:dyDescent="0.35">
      <c r="A10" s="10" t="s">
        <v>12</v>
      </c>
      <c r="B10" s="11" t="s">
        <v>13</v>
      </c>
      <c r="C10" s="12">
        <f>Base!B42</f>
        <v>2.5</v>
      </c>
      <c r="D10" s="12">
        <f>Base!C42</f>
        <v>3</v>
      </c>
      <c r="E10" s="12">
        <f>Base!D42</f>
        <v>3.5</v>
      </c>
      <c r="F10" s="12">
        <f>Base!E42</f>
        <v>4.5</v>
      </c>
      <c r="G10" s="12">
        <f>Base!F42</f>
        <v>5.5</v>
      </c>
      <c r="H10" s="12">
        <f>Base!G42</f>
        <v>6.5</v>
      </c>
      <c r="I10" s="12">
        <f>Base!H42</f>
        <v>7.5</v>
      </c>
      <c r="J10" s="12">
        <f>Base!I42</f>
        <v>8.5</v>
      </c>
      <c r="K10" s="12">
        <f>Base!J42</f>
        <v>9.5</v>
      </c>
      <c r="L10" s="12">
        <f>Base!K42</f>
        <v>10.5</v>
      </c>
      <c r="M10" s="12">
        <f>Base!L42</f>
        <v>11.5</v>
      </c>
      <c r="N10" s="12">
        <f>Base!M42</f>
        <v>12.5</v>
      </c>
      <c r="O10" s="12">
        <f>Base!N42</f>
        <v>13.5</v>
      </c>
      <c r="P10" s="12">
        <f>Base!O42</f>
        <v>14.5</v>
      </c>
      <c r="Q10" s="12">
        <f>Base!P42</f>
        <v>14.6</v>
      </c>
      <c r="R10" s="12">
        <f>Base!Q42</f>
        <v>14.7</v>
      </c>
      <c r="S10" s="12">
        <f>Base!R42</f>
        <v>14.799999999999999</v>
      </c>
      <c r="T10" s="12">
        <f>Base!S42</f>
        <v>14.899999999999999</v>
      </c>
    </row>
    <row r="11" spans="1:20" ht="18" customHeight="1" x14ac:dyDescent="0.35">
      <c r="A11" s="4" t="s">
        <v>14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2.75" customHeight="1" x14ac:dyDescent="0.35">
      <c r="A12" s="5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5.75" customHeight="1" x14ac:dyDescent="0.35">
      <c r="A13" s="14" t="s">
        <v>16</v>
      </c>
      <c r="B13" s="11" t="s">
        <v>17</v>
      </c>
      <c r="C13" s="15">
        <v>2</v>
      </c>
      <c r="D13" s="7" t="s">
        <v>18</v>
      </c>
    </row>
    <row r="14" spans="1:20" ht="15.75" customHeight="1" x14ac:dyDescent="0.35">
      <c r="A14" s="14" t="s">
        <v>19</v>
      </c>
      <c r="B14" s="11" t="s">
        <v>17</v>
      </c>
      <c r="C14" s="15">
        <v>6</v>
      </c>
      <c r="D14" s="7" t="s">
        <v>20</v>
      </c>
    </row>
    <row r="15" spans="1:20" ht="15" customHeight="1" x14ac:dyDescent="0.35">
      <c r="A15" s="16" t="s">
        <v>21</v>
      </c>
      <c r="B15" s="11" t="s">
        <v>22</v>
      </c>
      <c r="C15" s="17">
        <f>1/C$14</f>
        <v>0.16666666666666666</v>
      </c>
      <c r="D15" s="17">
        <f>1/C$14</f>
        <v>0.16666666666666666</v>
      </c>
      <c r="E15" s="17">
        <f>1/C$14</f>
        <v>0.16666666666666666</v>
      </c>
      <c r="F15" s="17">
        <f>1/C$14</f>
        <v>0.16666666666666666</v>
      </c>
      <c r="G15" s="17">
        <f>1/C$14</f>
        <v>0.16666666666666666</v>
      </c>
      <c r="H15" s="17">
        <f>1/C$14</f>
        <v>0.16666666666666666</v>
      </c>
      <c r="I15" s="17">
        <f>1/C$14</f>
        <v>0.16666666666666666</v>
      </c>
      <c r="J15" s="17">
        <f>1/C$14</f>
        <v>0.16666666666666666</v>
      </c>
      <c r="K15" s="17">
        <f>1/C$14</f>
        <v>0.16666666666666666</v>
      </c>
      <c r="L15" s="17">
        <f>1/C$14</f>
        <v>0.16666666666666666</v>
      </c>
      <c r="M15" s="17">
        <f>1/C$14</f>
        <v>0.16666666666666666</v>
      </c>
      <c r="N15" s="17">
        <f>1/C$14</f>
        <v>0.16666666666666666</v>
      </c>
      <c r="O15" s="17">
        <f>1/C$14</f>
        <v>0.16666666666666666</v>
      </c>
      <c r="P15" s="17">
        <f>1/C$14</f>
        <v>0.16666666666666666</v>
      </c>
      <c r="Q15" s="17">
        <f>1/C$14</f>
        <v>0.16666666666666666</v>
      </c>
      <c r="R15" s="17">
        <f>1/C$14</f>
        <v>0.16666666666666666</v>
      </c>
      <c r="S15" s="17">
        <f>1/C$14</f>
        <v>0.16666666666666666</v>
      </c>
      <c r="T15" s="17">
        <f>1/C$14</f>
        <v>0.16666666666666666</v>
      </c>
    </row>
    <row r="16" spans="1:20" ht="15" customHeight="1" x14ac:dyDescent="0.35">
      <c r="A16" s="16" t="s">
        <v>23</v>
      </c>
      <c r="B16" s="11" t="s">
        <v>24</v>
      </c>
      <c r="C16" s="18">
        <v>1</v>
      </c>
      <c r="D16" s="19">
        <f>C16*2^(1/C$13)</f>
        <v>1.4142135623730951</v>
      </c>
      <c r="E16" s="19">
        <f>D16*2^(1/C$13)</f>
        <v>2.0000000000000004</v>
      </c>
      <c r="F16" s="19">
        <f>E16*2^(1/C$13)</f>
        <v>2.8284271247461907</v>
      </c>
      <c r="G16" s="19">
        <f>F16*2^(1/C$13)</f>
        <v>4.0000000000000009</v>
      </c>
      <c r="H16" s="19">
        <f>G16*2^(1/C$13)</f>
        <v>5.6568542494923815</v>
      </c>
      <c r="I16" s="19">
        <f>H16*2^(1/C$13)</f>
        <v>8.0000000000000018</v>
      </c>
      <c r="J16" s="19">
        <f>I16*2^(1/C$13)</f>
        <v>11.313708498984763</v>
      </c>
      <c r="K16" s="19">
        <f>J16*2^(1/C$13)</f>
        <v>16.000000000000004</v>
      </c>
      <c r="L16" s="19">
        <f>K16*2^(1/C$13)</f>
        <v>22.627416997969526</v>
      </c>
      <c r="M16" s="19">
        <f>L16*2^(1/C$13)</f>
        <v>32.000000000000007</v>
      </c>
      <c r="N16" s="19">
        <f>M16*2^(1/C$13)</f>
        <v>45.254833995939052</v>
      </c>
      <c r="O16" s="19">
        <f>N16*2^(1/C$13)</f>
        <v>64.000000000000014</v>
      </c>
      <c r="P16" s="19">
        <f>O16*2^(1/C$13)</f>
        <v>90.509667991878104</v>
      </c>
      <c r="Q16" s="19">
        <f>P16*2^(1/C$13)</f>
        <v>128.00000000000003</v>
      </c>
      <c r="R16" s="19">
        <f>Q16*2^(1/C$13)</f>
        <v>181.01933598375621</v>
      </c>
      <c r="S16" s="19">
        <f>R16*2^(1/C$13)</f>
        <v>256.00000000000006</v>
      </c>
      <c r="T16" s="19">
        <f>S16*2^(1/C$13)</f>
        <v>362.03867196751241</v>
      </c>
    </row>
    <row r="17" spans="1:20" ht="15" customHeight="1" x14ac:dyDescent="0.35">
      <c r="A17" s="16" t="s">
        <v>25</v>
      </c>
      <c r="B17" s="11" t="s">
        <v>24</v>
      </c>
      <c r="C17" s="18">
        <v>1</v>
      </c>
      <c r="D17" s="19">
        <f>C$15*D16+(1-C$15)*C17</f>
        <v>1.0690355937288492</v>
      </c>
      <c r="E17" s="19">
        <f>C$15*E16+(1-C$15)*D17</f>
        <v>1.2241963281073742</v>
      </c>
      <c r="F17" s="19">
        <f>C$15*F16+(1-C$15)*E17</f>
        <v>1.491568127547177</v>
      </c>
      <c r="G17" s="19">
        <f>C$15*G16+(1-C$15)*F17</f>
        <v>1.9096401062893142</v>
      </c>
      <c r="H17" s="19">
        <f>C$15*H16+(1-C$15)*G17</f>
        <v>2.5341757968231589</v>
      </c>
      <c r="I17" s="19">
        <f>C$15*I16+(1-C$15)*H17</f>
        <v>3.4451464973526327</v>
      </c>
      <c r="J17" s="19">
        <f>C$15*J16+(1-C$15)*I17</f>
        <v>4.7565734976246539</v>
      </c>
      <c r="K17" s="19">
        <f>C$15*K16+(1-C$15)*J17</f>
        <v>6.6304779146872121</v>
      </c>
      <c r="L17" s="19">
        <f>C$15*L16+(1-C$15)*K17</f>
        <v>9.2966344285675984</v>
      </c>
      <c r="M17" s="19">
        <f>C$15*M16+(1-C$15)*L17</f>
        <v>13.080528690472999</v>
      </c>
      <c r="N17" s="19">
        <f>C$15*N16+(1-C$15)*M17</f>
        <v>18.442912908050673</v>
      </c>
      <c r="O17" s="19">
        <f>C$15*O16+(1-C$15)*N17</f>
        <v>26.035760756708896</v>
      </c>
      <c r="P17" s="19">
        <f>C$15*P16+(1-C$15)*O17</f>
        <v>36.781411962570431</v>
      </c>
      <c r="Q17" s="19">
        <f>C$15*Q16+(1-C$15)*P17</f>
        <v>51.984509968808695</v>
      </c>
      <c r="R17" s="19">
        <f>C$15*R16+(1-C$15)*Q17</f>
        <v>73.490314304633273</v>
      </c>
      <c r="S17" s="19">
        <f>C$15*S16+(1-C$15)*R17</f>
        <v>103.90859525386107</v>
      </c>
      <c r="T17" s="19">
        <f>C$15*T16+(1-C$15)*S17</f>
        <v>146.93027470613629</v>
      </c>
    </row>
    <row r="18" spans="1:20" ht="15" customHeight="1" x14ac:dyDescent="0.35">
      <c r="A18" s="16" t="s">
        <v>26</v>
      </c>
      <c r="B18" s="11" t="s">
        <v>24</v>
      </c>
      <c r="C18" s="20">
        <f t="shared" ref="C18:T18" si="0">1/C17</f>
        <v>1</v>
      </c>
      <c r="D18" s="20">
        <f t="shared" si="0"/>
        <v>0.93542254894614918</v>
      </c>
      <c r="E18" s="20">
        <f t="shared" si="0"/>
        <v>0.81686244031299693</v>
      </c>
      <c r="F18" s="20">
        <f t="shared" si="0"/>
        <v>0.67043535024072898</v>
      </c>
      <c r="G18" s="20">
        <f t="shared" si="0"/>
        <v>0.52365888038617581</v>
      </c>
      <c r="H18" s="20">
        <f t="shared" si="0"/>
        <v>0.39460561546424655</v>
      </c>
      <c r="I18" s="20">
        <f t="shared" si="0"/>
        <v>0.29026341862920313</v>
      </c>
      <c r="J18" s="20">
        <f t="shared" si="0"/>
        <v>0.21023537226942499</v>
      </c>
      <c r="K18" s="20">
        <f t="shared" si="0"/>
        <v>0.1508186910305355</v>
      </c>
      <c r="L18" s="20">
        <f t="shared" si="0"/>
        <v>0.10756580864652515</v>
      </c>
      <c r="M18" s="20">
        <f t="shared" si="0"/>
        <v>7.6449509317489173E-2</v>
      </c>
      <c r="N18" s="20">
        <f t="shared" si="0"/>
        <v>5.422136974704693E-2</v>
      </c>
      <c r="O18" s="20">
        <f t="shared" si="0"/>
        <v>3.8408710594036319E-2</v>
      </c>
      <c r="P18" s="20">
        <f t="shared" si="0"/>
        <v>2.7187645787432574E-2</v>
      </c>
      <c r="Q18" s="20">
        <f t="shared" si="0"/>
        <v>1.9236499499562687E-2</v>
      </c>
      <c r="R18" s="20">
        <f t="shared" si="0"/>
        <v>1.3607235313415362E-2</v>
      </c>
      <c r="S18" s="20">
        <f t="shared" si="0"/>
        <v>9.6238429319237834E-3</v>
      </c>
      <c r="T18" s="20">
        <f t="shared" si="0"/>
        <v>6.8059492980600596E-3</v>
      </c>
    </row>
    <row r="19" spans="1:20" ht="18" customHeight="1" x14ac:dyDescent="0.35">
      <c r="A19" s="4" t="s">
        <v>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2.75" customHeight="1" x14ac:dyDescent="0.35">
      <c r="A20" s="5" t="s">
        <v>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.75" customHeight="1" x14ac:dyDescent="0.35">
      <c r="A21" s="21" t="s">
        <v>29</v>
      </c>
      <c r="B21" s="11" t="s">
        <v>6</v>
      </c>
      <c r="C21" s="22">
        <f>C5</f>
        <v>124.3022</v>
      </c>
      <c r="D21" s="22">
        <f t="shared" ref="D21:T21" si="1">MAX(D5*D18,C21)</f>
        <v>413.68064832850638</v>
      </c>
      <c r="E21" s="22">
        <f t="shared" si="1"/>
        <v>598.11306640619011</v>
      </c>
      <c r="F21" s="22">
        <f t="shared" si="1"/>
        <v>877.47395952445368</v>
      </c>
      <c r="G21" s="22">
        <f t="shared" si="1"/>
        <v>1096.0412812069703</v>
      </c>
      <c r="H21" s="22">
        <f t="shared" si="1"/>
        <v>1235.9368164233927</v>
      </c>
      <c r="I21" s="22">
        <f t="shared" si="1"/>
        <v>1276.7920323543151</v>
      </c>
      <c r="J21" s="22">
        <f t="shared" si="1"/>
        <v>1276.7920323543151</v>
      </c>
      <c r="K21" s="22">
        <f t="shared" si="1"/>
        <v>1276.7920323543151</v>
      </c>
      <c r="L21" s="22">
        <f t="shared" si="1"/>
        <v>1276.7920323543151</v>
      </c>
      <c r="M21" s="22">
        <f t="shared" si="1"/>
        <v>1276.7920323543151</v>
      </c>
      <c r="N21" s="22">
        <f t="shared" si="1"/>
        <v>1276.7920323543151</v>
      </c>
      <c r="O21" s="22">
        <f t="shared" si="1"/>
        <v>1276.7920323543151</v>
      </c>
      <c r="P21" s="22">
        <f t="shared" si="1"/>
        <v>1276.7920323543151</v>
      </c>
      <c r="Q21" s="22">
        <f t="shared" si="1"/>
        <v>1276.7920323543151</v>
      </c>
      <c r="R21" s="22">
        <f t="shared" si="1"/>
        <v>1276.7920323543151</v>
      </c>
      <c r="S21" s="22">
        <f t="shared" si="1"/>
        <v>1276.7920323543151</v>
      </c>
      <c r="T21" s="22">
        <f t="shared" si="1"/>
        <v>1276.7920323543151</v>
      </c>
    </row>
    <row r="22" spans="1:20" ht="15.75" customHeight="1" x14ac:dyDescent="0.35">
      <c r="A22" s="21" t="s">
        <v>30</v>
      </c>
      <c r="B22" s="11" t="s">
        <v>31</v>
      </c>
      <c r="C22" s="23">
        <v>66</v>
      </c>
      <c r="D22" s="22">
        <f>MAX(C$22*D21/C21,C22)</f>
        <v>219.64955398763195</v>
      </c>
      <c r="E22" s="22">
        <f>MAX(C$22*E21/C21,D22)</f>
        <v>317.57653833004201</v>
      </c>
      <c r="F22" s="22">
        <f>MAX(C$22*F21/C21,E22)</f>
        <v>465.90713059474365</v>
      </c>
      <c r="G22" s="22">
        <f>MAX(C$22*G21/C21,F22)</f>
        <v>581.95852172898014</v>
      </c>
      <c r="H22" s="22">
        <f>MAX(C$22*H21/C21,G22)</f>
        <v>656.23802220671803</v>
      </c>
      <c r="I22" s="22">
        <f>MAX(C$22*I21/C21,H22)</f>
        <v>677.93067327356073</v>
      </c>
      <c r="J22" s="22">
        <f>MAX(C$22*J21/C21,I22)</f>
        <v>677.93067327356073</v>
      </c>
      <c r="K22" s="22">
        <f>MAX(C$22*K21/C21,J22)</f>
        <v>677.93067327356073</v>
      </c>
      <c r="L22" s="22">
        <f>MAX(C$22*L21/C21,K22)</f>
        <v>677.93067327356073</v>
      </c>
      <c r="M22" s="22">
        <f>MAX(C$22*M21/C21,L22)</f>
        <v>677.93067327356073</v>
      </c>
      <c r="N22" s="22">
        <f>MAX(C$22*N21/C21,M22)</f>
        <v>677.93067327356073</v>
      </c>
      <c r="O22" s="22">
        <f>MAX(C$22*O21/C21,N22)</f>
        <v>677.93067327356073</v>
      </c>
      <c r="P22" s="22">
        <f>MAX(C$22*P21/C21,O22)</f>
        <v>677.93067327356073</v>
      </c>
      <c r="Q22" s="22">
        <f>MAX(C$22*Q21/C21,P22)</f>
        <v>677.93067327356073</v>
      </c>
      <c r="R22" s="22">
        <f>MAX(C$22*R21/C21,Q22)</f>
        <v>677.93067327356073</v>
      </c>
      <c r="S22" s="22">
        <f>MAX(C$22*S21/C21,R22)</f>
        <v>677.93067327356073</v>
      </c>
      <c r="T22" s="22">
        <f>MAX(C$22*T21/C21,S22)</f>
        <v>677.93067327356073</v>
      </c>
    </row>
    <row r="23" spans="1:20" ht="15" customHeight="1" x14ac:dyDescent="0.35">
      <c r="A23" s="24" t="s">
        <v>32</v>
      </c>
      <c r="B23" s="11" t="s">
        <v>33</v>
      </c>
      <c r="C23" s="25">
        <f>C22/C$22*100</f>
        <v>100</v>
      </c>
      <c r="D23" s="25">
        <f>D22/C$22*100</f>
        <v>332.80235452671502</v>
      </c>
      <c r="E23" s="25">
        <f>E22/C$22*100</f>
        <v>481.17657322733641</v>
      </c>
      <c r="F23" s="25">
        <f>F22/C$22*100</f>
        <v>705.91989484052067</v>
      </c>
      <c r="G23" s="25">
        <f>G22/C$22*100</f>
        <v>881.75533595300021</v>
      </c>
      <c r="H23" s="25">
        <f>H22/C$22*100</f>
        <v>994.30003364654237</v>
      </c>
      <c r="I23" s="25">
        <f>I22/C$22*100</f>
        <v>1027.1676867781225</v>
      </c>
      <c r="J23" s="25">
        <f>J22/C$22*100</f>
        <v>1027.1676867781225</v>
      </c>
      <c r="K23" s="25">
        <f>K22/C$22*100</f>
        <v>1027.1676867781225</v>
      </c>
      <c r="L23" s="25">
        <f>L22/C$22*100</f>
        <v>1027.1676867781225</v>
      </c>
      <c r="M23" s="25">
        <f>M22/C$22*100</f>
        <v>1027.1676867781225</v>
      </c>
      <c r="N23" s="25">
        <f>N22/C$22*100</f>
        <v>1027.1676867781225</v>
      </c>
      <c r="O23" s="25">
        <f>O22/C$22*100</f>
        <v>1027.1676867781225</v>
      </c>
      <c r="P23" s="25">
        <f>P22/C$22*100</f>
        <v>1027.1676867781225</v>
      </c>
      <c r="Q23" s="25">
        <f>Q22/C$22*100</f>
        <v>1027.1676867781225</v>
      </c>
      <c r="R23" s="25">
        <f>R22/C$22*100</f>
        <v>1027.1676867781225</v>
      </c>
      <c r="S23" s="25">
        <f>S22/C$22*100</f>
        <v>1027.1676867781225</v>
      </c>
      <c r="T23" s="25">
        <f>T22/C$22*100</f>
        <v>1027.1676867781225</v>
      </c>
    </row>
    <row r="24" spans="1:20" ht="15" customHeight="1" x14ac:dyDescent="0.35">
      <c r="A24" s="24" t="s">
        <v>34</v>
      </c>
      <c r="B24" s="11" t="s">
        <v>35</v>
      </c>
      <c r="C24" s="11" t="s">
        <v>36</v>
      </c>
      <c r="D24" s="26">
        <f t="shared" ref="D24:T24" si="2">IF(C22=0,0,D22/C22-1)</f>
        <v>2.3280235452671505</v>
      </c>
      <c r="E24" s="26">
        <f t="shared" si="2"/>
        <v>0.44583283946902141</v>
      </c>
      <c r="F24" s="26">
        <f t="shared" si="2"/>
        <v>0.46707037316008782</v>
      </c>
      <c r="G24" s="26">
        <f t="shared" si="2"/>
        <v>0.24908696071273595</v>
      </c>
      <c r="H24" s="26">
        <f t="shared" si="2"/>
        <v>0.12763710419954988</v>
      </c>
      <c r="I24" s="26">
        <f t="shared" si="2"/>
        <v>3.3056071627634909E-2</v>
      </c>
      <c r="J24" s="26">
        <f t="shared" si="2"/>
        <v>0</v>
      </c>
      <c r="K24" s="26">
        <f t="shared" si="2"/>
        <v>0</v>
      </c>
      <c r="L24" s="26">
        <f t="shared" si="2"/>
        <v>0</v>
      </c>
      <c r="M24" s="26">
        <f t="shared" si="2"/>
        <v>0</v>
      </c>
      <c r="N24" s="26">
        <f t="shared" si="2"/>
        <v>0</v>
      </c>
      <c r="O24" s="26">
        <f t="shared" si="2"/>
        <v>0</v>
      </c>
      <c r="P24" s="26">
        <f t="shared" si="2"/>
        <v>0</v>
      </c>
      <c r="Q24" s="26">
        <f t="shared" si="2"/>
        <v>0</v>
      </c>
      <c r="R24" s="26">
        <f t="shared" si="2"/>
        <v>0</v>
      </c>
      <c r="S24" s="26">
        <f t="shared" si="2"/>
        <v>0</v>
      </c>
      <c r="T24" s="26">
        <f t="shared" si="2"/>
        <v>0</v>
      </c>
    </row>
    <row r="25" spans="1:20" ht="18" customHeight="1" x14ac:dyDescent="0.35">
      <c r="A25" s="4" t="s">
        <v>37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2.75" customHeight="1" x14ac:dyDescent="0.35">
      <c r="A26" s="5" t="s">
        <v>38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.75" customHeight="1" x14ac:dyDescent="0.35">
      <c r="A27" s="14" t="s">
        <v>39</v>
      </c>
      <c r="B27" s="11" t="s">
        <v>22</v>
      </c>
      <c r="C27" s="27">
        <v>0.22</v>
      </c>
      <c r="D27" s="7" t="s">
        <v>40</v>
      </c>
    </row>
    <row r="28" spans="1:20" ht="15.75" customHeight="1" x14ac:dyDescent="0.35">
      <c r="A28" s="14" t="s">
        <v>41</v>
      </c>
      <c r="B28" s="11" t="s">
        <v>22</v>
      </c>
      <c r="C28" s="27">
        <v>0.3</v>
      </c>
      <c r="D28" s="7" t="s">
        <v>42</v>
      </c>
    </row>
    <row r="29" spans="1:20" ht="15.75" customHeight="1" x14ac:dyDescent="0.35">
      <c r="A29" s="14" t="s">
        <v>43</v>
      </c>
      <c r="B29" s="11" t="s">
        <v>22</v>
      </c>
      <c r="C29" s="27">
        <v>0.25</v>
      </c>
      <c r="D29" s="7" t="s">
        <v>44</v>
      </c>
    </row>
    <row r="30" spans="1:20" ht="15.75" customHeight="1" x14ac:dyDescent="0.35">
      <c r="A30" s="14" t="s">
        <v>45</v>
      </c>
      <c r="B30" s="11" t="s">
        <v>22</v>
      </c>
      <c r="C30" s="27">
        <v>0.15</v>
      </c>
      <c r="D30" s="7" t="s">
        <v>46</v>
      </c>
    </row>
    <row r="31" spans="1:20" ht="15.75" customHeight="1" x14ac:dyDescent="0.35">
      <c r="A31" s="28" t="s">
        <v>47</v>
      </c>
      <c r="B31" s="11" t="s">
        <v>31</v>
      </c>
      <c r="C31" s="29">
        <f>C$22</f>
        <v>66</v>
      </c>
      <c r="D31" s="29">
        <f>C31*(1+C$27)</f>
        <v>80.52</v>
      </c>
      <c r="E31" s="29">
        <f>D31*(1+C$27)</f>
        <v>98.234399999999994</v>
      </c>
      <c r="F31" s="29">
        <f>E31*(1+C$28)</f>
        <v>127.70471999999999</v>
      </c>
      <c r="G31" s="29">
        <f>F31*(1+C$28)</f>
        <v>166.01613599999999</v>
      </c>
      <c r="H31" s="29">
        <f>G31*(1+C$28)</f>
        <v>215.82097679999998</v>
      </c>
      <c r="I31" s="29">
        <f>H31*(1+C$29)</f>
        <v>269.77622099999996</v>
      </c>
      <c r="J31" s="29">
        <f>I31*(1+C$29)</f>
        <v>337.22027624999998</v>
      </c>
      <c r="K31" s="29">
        <f>J31*(1+C$29)</f>
        <v>421.52534531250001</v>
      </c>
      <c r="L31" s="29">
        <f>K31*(1+C$29)</f>
        <v>526.90668164062504</v>
      </c>
      <c r="M31" s="29">
        <f>L31*(1+C$29)</f>
        <v>658.63335205078124</v>
      </c>
      <c r="N31" s="29">
        <f>M31*(1+C$30)</f>
        <v>757.42835485839839</v>
      </c>
      <c r="O31" s="29">
        <f>N31*(1+C$30)</f>
        <v>871.0426080871581</v>
      </c>
      <c r="P31" s="29">
        <f>O31*(1+C$30)</f>
        <v>1001.6989993002318</v>
      </c>
      <c r="Q31" s="29">
        <f>P31*(1+C$30)</f>
        <v>1151.9538491952665</v>
      </c>
      <c r="R31" s="29">
        <f>Q31*(1+C$30)</f>
        <v>1324.7469265745563</v>
      </c>
      <c r="S31" s="29">
        <f>R31*(1+C$30)</f>
        <v>1523.4589655607397</v>
      </c>
      <c r="T31" s="29">
        <f>S31*(1+C$30)</f>
        <v>1751.9778103948504</v>
      </c>
    </row>
    <row r="32" spans="1:20" ht="15" customHeight="1" x14ac:dyDescent="0.35">
      <c r="A32" s="30" t="s">
        <v>48</v>
      </c>
      <c r="B32" s="11" t="s">
        <v>33</v>
      </c>
      <c r="C32" s="29">
        <f>C31/C31*100</f>
        <v>100</v>
      </c>
      <c r="D32" s="29">
        <f>D31/C31*100</f>
        <v>122</v>
      </c>
      <c r="E32" s="29">
        <f>E31/C31*100</f>
        <v>148.84</v>
      </c>
      <c r="F32" s="29">
        <f>F31/C31*100</f>
        <v>193.49199999999999</v>
      </c>
      <c r="G32" s="29">
        <f>G31/C31*100</f>
        <v>251.53960000000001</v>
      </c>
      <c r="H32" s="29">
        <f>H31/C31*100</f>
        <v>327.00147999999996</v>
      </c>
      <c r="I32" s="29">
        <f>I31/C31*100</f>
        <v>408.75184999999999</v>
      </c>
      <c r="J32" s="29">
        <f>J31/C31*100</f>
        <v>510.93981249999996</v>
      </c>
      <c r="K32" s="29">
        <f>K31/C31*100</f>
        <v>638.67476562499996</v>
      </c>
      <c r="L32" s="29">
        <f>L31/C31*100</f>
        <v>798.34345703125007</v>
      </c>
      <c r="M32" s="29">
        <f>M31/C31*100</f>
        <v>997.9293212890625</v>
      </c>
      <c r="N32" s="29">
        <f>N31/C31*100</f>
        <v>1147.6187194824217</v>
      </c>
      <c r="O32" s="29">
        <f>O31/C31*100</f>
        <v>1319.7615274047851</v>
      </c>
      <c r="P32" s="29">
        <f>P31/C31*100</f>
        <v>1517.7257565155028</v>
      </c>
      <c r="Q32" s="29">
        <f>Q31/C31*100</f>
        <v>1745.384619992828</v>
      </c>
      <c r="R32" s="29">
        <f>R31/C31*100</f>
        <v>2007.1923129917518</v>
      </c>
      <c r="S32" s="29">
        <f>S31/C31*100</f>
        <v>2308.2711599405147</v>
      </c>
      <c r="T32" s="29">
        <f>T31/C31*100</f>
        <v>2654.5118339315918</v>
      </c>
    </row>
    <row r="33" spans="1:20" ht="15" customHeight="1" x14ac:dyDescent="0.35">
      <c r="A33" s="30" t="s">
        <v>49</v>
      </c>
      <c r="B33" s="11" t="s">
        <v>35</v>
      </c>
      <c r="C33" s="11" t="s">
        <v>36</v>
      </c>
      <c r="D33" s="31">
        <f t="shared" ref="D33:T33" si="3">IF(C31=0,0,D31/C31-1)</f>
        <v>0.21999999999999997</v>
      </c>
      <c r="E33" s="31">
        <f t="shared" si="3"/>
        <v>0.21999999999999997</v>
      </c>
      <c r="F33" s="31">
        <f t="shared" si="3"/>
        <v>0.30000000000000004</v>
      </c>
      <c r="G33" s="31">
        <f t="shared" si="3"/>
        <v>0.30000000000000004</v>
      </c>
      <c r="H33" s="31">
        <f t="shared" si="3"/>
        <v>0.30000000000000004</v>
      </c>
      <c r="I33" s="31">
        <f t="shared" si="3"/>
        <v>0.25</v>
      </c>
      <c r="J33" s="31">
        <f t="shared" si="3"/>
        <v>0.25</v>
      </c>
      <c r="K33" s="31">
        <f t="shared" si="3"/>
        <v>0.25</v>
      </c>
      <c r="L33" s="31">
        <f t="shared" si="3"/>
        <v>0.25</v>
      </c>
      <c r="M33" s="31">
        <f t="shared" si="3"/>
        <v>0.25</v>
      </c>
      <c r="N33" s="31">
        <f t="shared" si="3"/>
        <v>0.14999999999999991</v>
      </c>
      <c r="O33" s="31">
        <f t="shared" si="3"/>
        <v>0.14999999999999991</v>
      </c>
      <c r="P33" s="31">
        <f t="shared" si="3"/>
        <v>0.14999999999999991</v>
      </c>
      <c r="Q33" s="31">
        <f t="shared" si="3"/>
        <v>0.14999999999999991</v>
      </c>
      <c r="R33" s="31">
        <f t="shared" si="3"/>
        <v>0.14999999999999991</v>
      </c>
      <c r="S33" s="31">
        <f t="shared" si="3"/>
        <v>0.14999999999999991</v>
      </c>
      <c r="T33" s="31">
        <f t="shared" si="3"/>
        <v>0.14999999999999991</v>
      </c>
    </row>
    <row r="34" spans="1:20" ht="15" customHeight="1" x14ac:dyDescent="0.35">
      <c r="A34" s="30" t="s">
        <v>50</v>
      </c>
      <c r="B34" s="11" t="s">
        <v>31</v>
      </c>
      <c r="C34" s="11" t="s">
        <v>36</v>
      </c>
      <c r="D34" s="29">
        <f t="shared" ref="D34:T34" si="4">D31-C31</f>
        <v>14.519999999999996</v>
      </c>
      <c r="E34" s="29">
        <f t="shared" si="4"/>
        <v>17.714399999999998</v>
      </c>
      <c r="F34" s="29">
        <f t="shared" si="4"/>
        <v>29.470320000000001</v>
      </c>
      <c r="G34" s="29">
        <f t="shared" si="4"/>
        <v>38.311415999999994</v>
      </c>
      <c r="H34" s="29">
        <f t="shared" si="4"/>
        <v>49.804840799999994</v>
      </c>
      <c r="I34" s="29">
        <f t="shared" si="4"/>
        <v>53.955244199999981</v>
      </c>
      <c r="J34" s="29">
        <f t="shared" si="4"/>
        <v>67.444055250000019</v>
      </c>
      <c r="K34" s="29">
        <f t="shared" si="4"/>
        <v>84.305069062500024</v>
      </c>
      <c r="L34" s="29">
        <f t="shared" si="4"/>
        <v>105.38133632812503</v>
      </c>
      <c r="M34" s="29">
        <f t="shared" si="4"/>
        <v>131.7266704101562</v>
      </c>
      <c r="N34" s="29">
        <f t="shared" si="4"/>
        <v>98.795002807617152</v>
      </c>
      <c r="O34" s="29">
        <f t="shared" si="4"/>
        <v>113.61425322875971</v>
      </c>
      <c r="P34" s="29">
        <f t="shared" si="4"/>
        <v>130.65639121307368</v>
      </c>
      <c r="Q34" s="29">
        <f t="shared" si="4"/>
        <v>150.25484989503468</v>
      </c>
      <c r="R34" s="29">
        <f t="shared" si="4"/>
        <v>172.7930773792898</v>
      </c>
      <c r="S34" s="29">
        <f t="shared" si="4"/>
        <v>198.71203898618342</v>
      </c>
      <c r="T34" s="29">
        <f t="shared" si="4"/>
        <v>228.51884483411072</v>
      </c>
    </row>
    <row r="35" spans="1:20" ht="18" customHeight="1" x14ac:dyDescent="0.35">
      <c r="A35" s="4" t="s">
        <v>51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2.75" customHeight="1" x14ac:dyDescent="0.35">
      <c r="A36" s="5" t="s">
        <v>52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5.75" customHeight="1" x14ac:dyDescent="0.35">
      <c r="A37" s="32" t="s">
        <v>53</v>
      </c>
      <c r="B37" s="11" t="s">
        <v>31</v>
      </c>
      <c r="C37" s="33">
        <f t="shared" ref="C37:T37" si="5">C22-C31</f>
        <v>0</v>
      </c>
      <c r="D37" s="33">
        <f t="shared" si="5"/>
        <v>139.12955398763194</v>
      </c>
      <c r="E37" s="33">
        <f t="shared" si="5"/>
        <v>219.34213833004202</v>
      </c>
      <c r="F37" s="33">
        <f t="shared" si="5"/>
        <v>338.20241059474364</v>
      </c>
      <c r="G37" s="33">
        <f t="shared" si="5"/>
        <v>415.94238572898018</v>
      </c>
      <c r="H37" s="33">
        <f t="shared" si="5"/>
        <v>440.41704540671805</v>
      </c>
      <c r="I37" s="33">
        <f t="shared" si="5"/>
        <v>408.15445227356076</v>
      </c>
      <c r="J37" s="33">
        <f t="shared" si="5"/>
        <v>340.71039702356074</v>
      </c>
      <c r="K37" s="33">
        <f t="shared" si="5"/>
        <v>256.40532796106072</v>
      </c>
      <c r="L37" s="33">
        <f t="shared" si="5"/>
        <v>151.02399163293569</v>
      </c>
      <c r="M37" s="33">
        <f t="shared" si="5"/>
        <v>19.297321222779487</v>
      </c>
      <c r="N37" s="33">
        <f t="shared" si="5"/>
        <v>-79.497681584837665</v>
      </c>
      <c r="O37" s="33">
        <f t="shared" si="5"/>
        <v>-193.11193481359737</v>
      </c>
      <c r="P37" s="33">
        <f t="shared" si="5"/>
        <v>-323.76832602667105</v>
      </c>
      <c r="Q37" s="33">
        <f t="shared" si="5"/>
        <v>-474.02317592170573</v>
      </c>
      <c r="R37" s="33">
        <f t="shared" si="5"/>
        <v>-646.81625330099553</v>
      </c>
      <c r="S37" s="33">
        <f t="shared" si="5"/>
        <v>-845.52829228717894</v>
      </c>
      <c r="T37" s="33">
        <f t="shared" si="5"/>
        <v>-1074.0471371212898</v>
      </c>
    </row>
    <row r="38" spans="1:20" ht="15" customHeight="1" x14ac:dyDescent="0.35">
      <c r="A38" s="34" t="s">
        <v>54</v>
      </c>
      <c r="B38" s="11" t="s">
        <v>35</v>
      </c>
      <c r="C38" s="35">
        <f t="shared" ref="C38:T38" si="6">IF(C22=0,0,C37/C22)</f>
        <v>0</v>
      </c>
      <c r="D38" s="35">
        <f t="shared" si="6"/>
        <v>0.63341605508320797</v>
      </c>
      <c r="E38" s="35">
        <f t="shared" si="6"/>
        <v>0.69067488260763865</v>
      </c>
      <c r="F38" s="35">
        <f t="shared" si="6"/>
        <v>0.72590091111724064</v>
      </c>
      <c r="G38" s="35">
        <f t="shared" si="6"/>
        <v>0.71472857634806797</v>
      </c>
      <c r="H38" s="35">
        <f t="shared" si="6"/>
        <v>0.67112393750934574</v>
      </c>
      <c r="I38" s="35">
        <f t="shared" si="6"/>
        <v>0.60205927886797506</v>
      </c>
      <c r="J38" s="35">
        <f t="shared" si="6"/>
        <v>0.50257409858496871</v>
      </c>
      <c r="K38" s="35">
        <f t="shared" si="6"/>
        <v>0.37821762323121089</v>
      </c>
      <c r="L38" s="35">
        <f t="shared" si="6"/>
        <v>0.22277202903901358</v>
      </c>
      <c r="M38" s="35">
        <f t="shared" si="6"/>
        <v>2.8465036298767045E-2</v>
      </c>
      <c r="N38" s="35">
        <f t="shared" si="6"/>
        <v>-0.11726520825641785</v>
      </c>
      <c r="O38" s="35">
        <f t="shared" si="6"/>
        <v>-0.28485498949488047</v>
      </c>
      <c r="P38" s="35">
        <f t="shared" si="6"/>
        <v>-0.47758323791911245</v>
      </c>
      <c r="Q38" s="35">
        <f t="shared" si="6"/>
        <v>-0.69922072360697918</v>
      </c>
      <c r="R38" s="35">
        <f t="shared" si="6"/>
        <v>-0.95410383214802585</v>
      </c>
      <c r="S38" s="35">
        <f t="shared" si="6"/>
        <v>-1.2472194069702296</v>
      </c>
      <c r="T38" s="35">
        <f t="shared" si="6"/>
        <v>-1.584302318015764</v>
      </c>
    </row>
    <row r="39" spans="1:20" ht="12.75" customHeight="1" x14ac:dyDescent="0.35">
      <c r="A39" s="5" t="s">
        <v>55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5" customHeight="1" x14ac:dyDescent="0.35">
      <c r="A40" s="24" t="s">
        <v>56</v>
      </c>
      <c r="B40" s="11" t="s">
        <v>31</v>
      </c>
      <c r="C40" s="11" t="s">
        <v>36</v>
      </c>
      <c r="D40" s="25">
        <f t="shared" ref="D40:T40" si="7">MAX(D22-C22,0)</f>
        <v>153.64955398763195</v>
      </c>
      <c r="E40" s="25">
        <f t="shared" si="7"/>
        <v>97.926984342410066</v>
      </c>
      <c r="F40" s="25">
        <f t="shared" si="7"/>
        <v>148.33059226470164</v>
      </c>
      <c r="G40" s="25">
        <f t="shared" si="7"/>
        <v>116.0513911342365</v>
      </c>
      <c r="H40" s="25">
        <f t="shared" si="7"/>
        <v>74.279500477737884</v>
      </c>
      <c r="I40" s="25">
        <f t="shared" si="7"/>
        <v>21.6926510668427</v>
      </c>
      <c r="J40" s="25">
        <f t="shared" si="7"/>
        <v>0</v>
      </c>
      <c r="K40" s="25">
        <f t="shared" si="7"/>
        <v>0</v>
      </c>
      <c r="L40" s="25">
        <f t="shared" si="7"/>
        <v>0</v>
      </c>
      <c r="M40" s="25">
        <f t="shared" si="7"/>
        <v>0</v>
      </c>
      <c r="N40" s="25">
        <f t="shared" si="7"/>
        <v>0</v>
      </c>
      <c r="O40" s="25">
        <f t="shared" si="7"/>
        <v>0</v>
      </c>
      <c r="P40" s="25">
        <f t="shared" si="7"/>
        <v>0</v>
      </c>
      <c r="Q40" s="25">
        <f t="shared" si="7"/>
        <v>0</v>
      </c>
      <c r="R40" s="25">
        <f t="shared" si="7"/>
        <v>0</v>
      </c>
      <c r="S40" s="25">
        <f t="shared" si="7"/>
        <v>0</v>
      </c>
      <c r="T40" s="25">
        <f t="shared" si="7"/>
        <v>0</v>
      </c>
    </row>
    <row r="41" spans="1:20" ht="18" customHeight="1" x14ac:dyDescent="0.35">
      <c r="A41" s="4" t="s">
        <v>57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2.75" customHeight="1" x14ac:dyDescent="0.35">
      <c r="A42" s="5" t="s">
        <v>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5.75" customHeight="1" x14ac:dyDescent="0.35">
      <c r="A43" s="14" t="s">
        <v>59</v>
      </c>
      <c r="B43" s="11" t="s">
        <v>60</v>
      </c>
      <c r="C43" s="36">
        <v>11.3</v>
      </c>
      <c r="D43" s="7" t="s">
        <v>61</v>
      </c>
    </row>
    <row r="44" spans="1:20" ht="15.75" customHeight="1" x14ac:dyDescent="0.35">
      <c r="A44" s="14" t="s">
        <v>62</v>
      </c>
      <c r="B44" s="11" t="s">
        <v>60</v>
      </c>
      <c r="C44" s="36">
        <v>15</v>
      </c>
      <c r="D44" s="7" t="s">
        <v>63</v>
      </c>
    </row>
    <row r="45" spans="1:20" ht="15.75" customHeight="1" x14ac:dyDescent="0.35">
      <c r="A45" s="14" t="s">
        <v>64</v>
      </c>
      <c r="B45" s="11" t="s">
        <v>35</v>
      </c>
      <c r="C45" s="37">
        <v>0.5</v>
      </c>
      <c r="D45" s="7" t="s">
        <v>65</v>
      </c>
    </row>
    <row r="46" spans="1:20" ht="15.75" customHeight="1" x14ac:dyDescent="0.35">
      <c r="A46" s="14" t="s">
        <v>66</v>
      </c>
      <c r="B46" s="11" t="s">
        <v>35</v>
      </c>
      <c r="C46" s="37">
        <v>0.25</v>
      </c>
      <c r="D46" s="7" t="s">
        <v>67</v>
      </c>
    </row>
    <row r="47" spans="1:20" ht="15.75" customHeight="1" x14ac:dyDescent="0.35">
      <c r="A47" s="38" t="s">
        <v>68</v>
      </c>
      <c r="B47" s="11" t="s">
        <v>69</v>
      </c>
      <c r="C47" s="11" t="s">
        <v>36</v>
      </c>
      <c r="D47" s="39">
        <f>D34*1000*(C$45*(C$43+C$44)+(1-C$45)*C$43)/1000</f>
        <v>272.97599999999994</v>
      </c>
      <c r="E47" s="39">
        <f>E34*1000*(C$45*(C$43+C$44)+(1-C$45)*C$43)/1000</f>
        <v>333.03071999999997</v>
      </c>
      <c r="F47" s="39">
        <f>F34*1000*(C$45*(C$43+C$44)+(1-C$45)*C$43)/1000</f>
        <v>554.0420160000001</v>
      </c>
      <c r="G47" s="39">
        <f>G34*1000*(C$45*(C$43+C$44)+(1-C$45)*C$43)/1000</f>
        <v>720.2546208</v>
      </c>
      <c r="H47" s="39">
        <f>H34*1000*(C$45*(C$43+C$44)+(1-C$45)*C$43)/1000</f>
        <v>936.3310070399998</v>
      </c>
      <c r="I47" s="39">
        <f>I34*1000*(C$45*(C$43+C$44)+(1-C$45)*C$43)/1000</f>
        <v>1014.3585909599996</v>
      </c>
      <c r="J47" s="39">
        <f>J34*1000*(C$45*(C$43+C$44)+(1-C$45)*C$43)/1000</f>
        <v>1267.9482387000003</v>
      </c>
      <c r="K47" s="39">
        <f>K34*1000*(C$45*(C$43+C$44)+(1-C$45)*C$43)/1000</f>
        <v>1584.9352983750005</v>
      </c>
      <c r="L47" s="39">
        <f>L34*1000*(C$45*(C$43+C$44)+(1-C$45)*C$43)/1000</f>
        <v>1981.1691229687508</v>
      </c>
      <c r="M47" s="39">
        <f>M34*1000*(C$45*(C$43+C$44)+(1-C$45)*C$43)/1000</f>
        <v>2476.4614037109368</v>
      </c>
      <c r="N47" s="39">
        <f>N34*1000*(C$45*(C$43+C$44)+(1-C$45)*C$43)/1000</f>
        <v>1857.3460527832026</v>
      </c>
      <c r="O47" s="39">
        <f>O34*1000*(C$45*(C$43+C$44)+(1-C$45)*C$43)/1000</f>
        <v>2135.9479607006829</v>
      </c>
      <c r="P47" s="39">
        <f>P34*1000*(C$45*(C$43+C$44)+(1-C$45)*C$43)/1000</f>
        <v>2456.340154805785</v>
      </c>
      <c r="Q47" s="39">
        <f>Q34*1000*(C$45*(C$43+C$44)+(1-C$45)*C$43)/1000</f>
        <v>2824.7911780266518</v>
      </c>
      <c r="R47" s="39">
        <f>R34*1000*(C$45*(C$43+C$44)+(1-C$45)*C$43)/1000</f>
        <v>3248.5098547306484</v>
      </c>
      <c r="S47" s="39">
        <f>S34*1000*(C$45*(C$43+C$44)+(1-C$45)*C$43)/1000</f>
        <v>3735.7863329402485</v>
      </c>
      <c r="T47" s="39">
        <f>T34*1000*(C$45*(C$43+C$44)+(1-C$45)*C$43)/1000</f>
        <v>4296.1542828812826</v>
      </c>
    </row>
    <row r="48" spans="1:20" ht="15.75" customHeight="1" x14ac:dyDescent="0.35">
      <c r="A48" s="40" t="s">
        <v>70</v>
      </c>
      <c r="B48" s="11" t="s">
        <v>69</v>
      </c>
      <c r="C48" s="11" t="s">
        <v>36</v>
      </c>
      <c r="D48" s="41">
        <f>D47*C$46</f>
        <v>68.243999999999986</v>
      </c>
      <c r="E48" s="41">
        <f>E47*C$46</f>
        <v>83.257679999999993</v>
      </c>
      <c r="F48" s="41">
        <f>F47*C$46</f>
        <v>138.51050400000003</v>
      </c>
      <c r="G48" s="41">
        <f>G47*C$46</f>
        <v>180.0636552</v>
      </c>
      <c r="H48" s="41">
        <f>H47*C$46</f>
        <v>234.08275175999995</v>
      </c>
      <c r="I48" s="41">
        <f>I47*C$46</f>
        <v>253.58964773999989</v>
      </c>
      <c r="J48" s="41">
        <f>J47*C$46</f>
        <v>316.98705967500007</v>
      </c>
      <c r="K48" s="41">
        <f>K47*C$46</f>
        <v>396.23382459375011</v>
      </c>
      <c r="L48" s="41">
        <f>L47*C$46</f>
        <v>495.2922807421877</v>
      </c>
      <c r="M48" s="41">
        <f>M47*C$46</f>
        <v>619.1153509277342</v>
      </c>
      <c r="N48" s="41">
        <f>N47*C$46</f>
        <v>464.33651319580065</v>
      </c>
      <c r="O48" s="41">
        <f>O47*C$46</f>
        <v>533.98699017517072</v>
      </c>
      <c r="P48" s="41">
        <f>P47*C$46</f>
        <v>614.08503870144625</v>
      </c>
      <c r="Q48" s="41">
        <f>Q47*C$46</f>
        <v>706.19779450666294</v>
      </c>
      <c r="R48" s="41">
        <f>R47*C$46</f>
        <v>812.1274636826621</v>
      </c>
      <c r="S48" s="41">
        <f>S47*C$46</f>
        <v>933.94658323506212</v>
      </c>
      <c r="T48" s="41">
        <f>T47*C$46</f>
        <v>1074.0385707203206</v>
      </c>
    </row>
    <row r="49" spans="1:20" ht="15" customHeight="1" x14ac:dyDescent="0.35">
      <c r="A49" s="42" t="s">
        <v>71</v>
      </c>
      <c r="B49" s="11" t="s">
        <v>69</v>
      </c>
      <c r="C49" s="43">
        <v>0</v>
      </c>
      <c r="D49" s="41">
        <f t="shared" ref="D49:T49" si="8">C49+D48</f>
        <v>68.243999999999986</v>
      </c>
      <c r="E49" s="41">
        <f t="shared" si="8"/>
        <v>151.50167999999996</v>
      </c>
      <c r="F49" s="41">
        <f t="shared" si="8"/>
        <v>290.01218399999999</v>
      </c>
      <c r="G49" s="41">
        <f t="shared" si="8"/>
        <v>470.07583920000002</v>
      </c>
      <c r="H49" s="41">
        <f t="shared" si="8"/>
        <v>704.15859095999997</v>
      </c>
      <c r="I49" s="41">
        <f t="shared" si="8"/>
        <v>957.74823869999989</v>
      </c>
      <c r="J49" s="41">
        <f t="shared" si="8"/>
        <v>1274.735298375</v>
      </c>
      <c r="K49" s="41">
        <f t="shared" si="8"/>
        <v>1670.9691229687501</v>
      </c>
      <c r="L49" s="41">
        <f t="shared" si="8"/>
        <v>2166.2614037109379</v>
      </c>
      <c r="M49" s="41">
        <f t="shared" si="8"/>
        <v>2785.3767546386721</v>
      </c>
      <c r="N49" s="41">
        <f t="shared" si="8"/>
        <v>3249.7132678344728</v>
      </c>
      <c r="O49" s="41">
        <f t="shared" si="8"/>
        <v>3783.7002580096437</v>
      </c>
      <c r="P49" s="41">
        <f t="shared" si="8"/>
        <v>4397.7852967110903</v>
      </c>
      <c r="Q49" s="41">
        <f t="shared" si="8"/>
        <v>5103.9830912177531</v>
      </c>
      <c r="R49" s="41">
        <f t="shared" si="8"/>
        <v>5916.1105549004151</v>
      </c>
      <c r="S49" s="41">
        <f t="shared" si="8"/>
        <v>6850.0571381354775</v>
      </c>
      <c r="T49" s="41">
        <f t="shared" si="8"/>
        <v>7924.095708855798</v>
      </c>
    </row>
    <row r="51" spans="1:20" ht="18" customHeight="1" x14ac:dyDescent="0.35">
      <c r="A51" s="3" t="s">
        <v>72</v>
      </c>
      <c r="B51" s="3"/>
      <c r="C51" s="3"/>
      <c r="D51" s="3"/>
      <c r="E51" s="3"/>
      <c r="F51" s="3"/>
      <c r="G51" s="3"/>
      <c r="H51" s="3"/>
      <c r="I51" s="3"/>
      <c r="J51" s="3"/>
    </row>
    <row r="52" spans="1:20" ht="37.5" customHeight="1" x14ac:dyDescent="0.35">
      <c r="A52" s="44" t="s">
        <v>73</v>
      </c>
      <c r="B52" s="45" t="s">
        <v>74</v>
      </c>
      <c r="C52" s="2" t="s">
        <v>75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37.5" customHeight="1" x14ac:dyDescent="0.35">
      <c r="A53" s="44" t="s">
        <v>76</v>
      </c>
      <c r="B53" s="45" t="s">
        <v>77</v>
      </c>
      <c r="C53" s="2" t="s">
        <v>78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37.5" customHeight="1" x14ac:dyDescent="0.35">
      <c r="A54" s="44" t="s">
        <v>79</v>
      </c>
      <c r="B54" s="45" t="s">
        <v>80</v>
      </c>
      <c r="C54" s="2" t="s">
        <v>81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37.5" customHeight="1" x14ac:dyDescent="0.35">
      <c r="A55" s="44" t="s">
        <v>82</v>
      </c>
      <c r="B55" s="45" t="s">
        <v>83</v>
      </c>
      <c r="C55" s="2" t="s">
        <v>84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37.5" customHeight="1" x14ac:dyDescent="0.35">
      <c r="A56" s="44" t="s">
        <v>85</v>
      </c>
      <c r="B56" s="45" t="s">
        <v>86</v>
      </c>
      <c r="C56" s="2" t="s">
        <v>87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37.5" customHeight="1" x14ac:dyDescent="0.35">
      <c r="A57" s="44" t="s">
        <v>88</v>
      </c>
      <c r="B57" s="45" t="s">
        <v>89</v>
      </c>
      <c r="C57" s="2" t="s">
        <v>90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37.5" customHeight="1" x14ac:dyDescent="0.35">
      <c r="A58" s="44" t="s">
        <v>91</v>
      </c>
      <c r="B58" s="45" t="s">
        <v>92</v>
      </c>
      <c r="C58" s="2" t="s">
        <v>93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37.5" customHeight="1" x14ac:dyDescent="0.35">
      <c r="A59" s="44" t="s">
        <v>94</v>
      </c>
      <c r="B59" s="45" t="s">
        <v>95</v>
      </c>
      <c r="C59" s="2" t="s">
        <v>96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37.5" customHeight="1" x14ac:dyDescent="0.35">
      <c r="A60" s="44" t="s">
        <v>97</v>
      </c>
      <c r="B60" s="45" t="s">
        <v>98</v>
      </c>
      <c r="C60" s="2" t="s">
        <v>99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37.5" customHeight="1" x14ac:dyDescent="0.35">
      <c r="A61" s="44" t="s">
        <v>100</v>
      </c>
      <c r="B61" s="45" t="s">
        <v>101</v>
      </c>
      <c r="C61" s="2" t="s">
        <v>102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3" spans="1:20" ht="15.75" customHeight="1" x14ac:dyDescent="0.35">
      <c r="A63" s="3" t="s">
        <v>103</v>
      </c>
      <c r="B63" s="3"/>
      <c r="C63" s="3"/>
      <c r="D63" s="3"/>
      <c r="E63" s="3"/>
      <c r="F63" s="3"/>
      <c r="G63" s="3"/>
      <c r="H63" s="3"/>
      <c r="I63" s="3"/>
      <c r="J63" s="3"/>
    </row>
    <row r="64" spans="1:20" ht="21.75" customHeight="1" x14ac:dyDescent="0.35">
      <c r="A64" s="44" t="s">
        <v>104</v>
      </c>
      <c r="B64" s="46" t="s">
        <v>105</v>
      </c>
      <c r="C64" s="1" t="s">
        <v>106</v>
      </c>
      <c r="D64" s="1"/>
      <c r="E64" s="1"/>
      <c r="F64" s="1"/>
      <c r="G64" s="1"/>
      <c r="H64" s="1"/>
      <c r="I64" s="1"/>
      <c r="J64" s="1"/>
    </row>
    <row r="65" spans="1:10" ht="21.75" customHeight="1" x14ac:dyDescent="0.35">
      <c r="A65" s="44" t="s">
        <v>107</v>
      </c>
      <c r="B65" s="46" t="s">
        <v>108</v>
      </c>
      <c r="C65" s="1" t="s">
        <v>109</v>
      </c>
      <c r="D65" s="1"/>
      <c r="E65" s="1"/>
      <c r="F65" s="1"/>
      <c r="G65" s="1"/>
      <c r="H65" s="1"/>
      <c r="I65" s="1"/>
      <c r="J65" s="1"/>
    </row>
    <row r="66" spans="1:10" ht="21.75" customHeight="1" x14ac:dyDescent="0.35">
      <c r="A66" s="44" t="s">
        <v>110</v>
      </c>
      <c r="B66" s="46" t="s">
        <v>111</v>
      </c>
      <c r="C66" s="1" t="s">
        <v>112</v>
      </c>
      <c r="D66" s="1"/>
      <c r="E66" s="1"/>
      <c r="F66" s="1"/>
      <c r="G66" s="1"/>
      <c r="H66" s="1"/>
      <c r="I66" s="1"/>
      <c r="J66" s="1"/>
    </row>
    <row r="67" spans="1:10" ht="21.75" customHeight="1" x14ac:dyDescent="0.35">
      <c r="A67" s="44" t="s">
        <v>113</v>
      </c>
      <c r="B67" s="46" t="s">
        <v>114</v>
      </c>
      <c r="C67" s="1" t="s">
        <v>115</v>
      </c>
      <c r="D67" s="1"/>
      <c r="E67" s="1"/>
      <c r="F67" s="1"/>
      <c r="G67" s="1"/>
      <c r="H67" s="1"/>
      <c r="I67" s="1"/>
      <c r="J67" s="1"/>
    </row>
  </sheetData>
  <mergeCells count="30">
    <mergeCell ref="A63:J63"/>
    <mergeCell ref="C64:J64"/>
    <mergeCell ref="C65:J65"/>
    <mergeCell ref="C66:J66"/>
    <mergeCell ref="C67:J67"/>
    <mergeCell ref="C57:T57"/>
    <mergeCell ref="C58:T58"/>
    <mergeCell ref="C59:T59"/>
    <mergeCell ref="C60:T60"/>
    <mergeCell ref="C61:T61"/>
    <mergeCell ref="C52:T52"/>
    <mergeCell ref="C53:T53"/>
    <mergeCell ref="C54:T54"/>
    <mergeCell ref="C55:T55"/>
    <mergeCell ref="C56:T56"/>
    <mergeCell ref="A36:T36"/>
    <mergeCell ref="A39:T39"/>
    <mergeCell ref="A41:T41"/>
    <mergeCell ref="A42:T42"/>
    <mergeCell ref="A51:J51"/>
    <mergeCell ref="A19:T19"/>
    <mergeCell ref="A20:T20"/>
    <mergeCell ref="A25:T25"/>
    <mergeCell ref="A26:T26"/>
    <mergeCell ref="A35:T35"/>
    <mergeCell ref="A1:T1"/>
    <mergeCell ref="A2:T2"/>
    <mergeCell ref="A4:T4"/>
    <mergeCell ref="A11:T11"/>
    <mergeCell ref="A12:T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5"/>
  <sheetViews>
    <sheetView showGridLines="0" tabSelected="1" zoomScale="70" zoomScaleNormal="70" workbookViewId="0">
      <pane ySplit="1" topLeftCell="A2" activePane="bottomLeft" state="frozen"/>
      <selection sqref="A1:T1"/>
      <selection pane="bottomLeft" sqref="A1:T1"/>
    </sheetView>
  </sheetViews>
  <sheetFormatPr defaultColWidth="8.54296875" defaultRowHeight="14.5" x14ac:dyDescent="0.35"/>
  <cols>
    <col min="1" max="1" width="28.7265625" customWidth="1"/>
    <col min="2" max="4" width="12.453125" customWidth="1"/>
    <col min="5" max="6" width="12.81640625" customWidth="1"/>
    <col min="7" max="7" width="13.54296875" customWidth="1"/>
    <col min="8" max="9" width="14.54296875" customWidth="1"/>
    <col min="10" max="10" width="15" customWidth="1"/>
    <col min="11" max="11" width="14.26953125" customWidth="1"/>
    <col min="12" max="12" width="15" customWidth="1"/>
    <col min="13" max="13" width="14.54296875" customWidth="1"/>
    <col min="14" max="17" width="15" customWidth="1"/>
    <col min="18" max="18" width="14.54296875" customWidth="1"/>
    <col min="19" max="19" width="15" customWidth="1"/>
    <col min="20" max="20" width="9.81640625" customWidth="1"/>
  </cols>
  <sheetData>
    <row r="1" spans="1:21" ht="14.25" customHeight="1" x14ac:dyDescent="0.35">
      <c r="B1" s="47">
        <v>2025</v>
      </c>
      <c r="C1" s="47">
        <v>2026</v>
      </c>
      <c r="D1" s="47">
        <f t="shared" ref="D1:S1" si="0">C1+1</f>
        <v>2027</v>
      </c>
      <c r="E1" s="47">
        <f t="shared" si="0"/>
        <v>2028</v>
      </c>
      <c r="F1" s="47">
        <f t="shared" si="0"/>
        <v>2029</v>
      </c>
      <c r="G1" s="47">
        <f t="shared" si="0"/>
        <v>2030</v>
      </c>
      <c r="H1" s="47">
        <f t="shared" si="0"/>
        <v>2031</v>
      </c>
      <c r="I1" s="47">
        <f t="shared" si="0"/>
        <v>2032</v>
      </c>
      <c r="J1" s="47">
        <f t="shared" si="0"/>
        <v>2033</v>
      </c>
      <c r="K1" s="47">
        <f t="shared" si="0"/>
        <v>2034</v>
      </c>
      <c r="L1" s="47">
        <f t="shared" si="0"/>
        <v>2035</v>
      </c>
      <c r="M1" s="47">
        <f t="shared" si="0"/>
        <v>2036</v>
      </c>
      <c r="N1" s="47">
        <f t="shared" si="0"/>
        <v>2037</v>
      </c>
      <c r="O1" s="47">
        <f t="shared" si="0"/>
        <v>2038</v>
      </c>
      <c r="P1" s="47">
        <f t="shared" si="0"/>
        <v>2039</v>
      </c>
      <c r="Q1" s="47">
        <f t="shared" si="0"/>
        <v>2040</v>
      </c>
      <c r="R1" s="47">
        <f t="shared" si="0"/>
        <v>2041</v>
      </c>
      <c r="S1" s="47">
        <f t="shared" si="0"/>
        <v>2042</v>
      </c>
      <c r="T1" s="47" t="s">
        <v>116</v>
      </c>
    </row>
    <row r="2" spans="1:21" ht="14.25" customHeight="1" x14ac:dyDescent="0.35">
      <c r="A2" t="s">
        <v>117</v>
      </c>
      <c r="B2" s="48">
        <v>1100</v>
      </c>
      <c r="C2" s="49">
        <f>B2*1.35</f>
        <v>1485</v>
      </c>
      <c r="D2" s="49">
        <f>C2*1.35</f>
        <v>2004.7500000000002</v>
      </c>
      <c r="E2" s="49">
        <f>D2*1.25</f>
        <v>2505.9375000000005</v>
      </c>
      <c r="F2" s="49">
        <f>E2*1.25</f>
        <v>3132.4218750000005</v>
      </c>
      <c r="G2" s="49">
        <f>F2*1.25</f>
        <v>3915.5273437500005</v>
      </c>
      <c r="H2" s="49">
        <f>G2*1.2</f>
        <v>4698.6328125</v>
      </c>
      <c r="I2" s="50">
        <f t="shared" ref="I2:S2" si="1">I3*I4</f>
        <v>4657.2778072903693</v>
      </c>
      <c r="J2" s="50">
        <f t="shared" si="1"/>
        <v>4969.6736725178462</v>
      </c>
      <c r="K2" s="50">
        <f t="shared" si="1"/>
        <v>5590.8828815825773</v>
      </c>
      <c r="L2" s="50">
        <f t="shared" si="1"/>
        <v>5930.8085607827979</v>
      </c>
      <c r="M2" s="50">
        <f t="shared" si="1"/>
        <v>6282.094913998395</v>
      </c>
      <c r="N2" s="50">
        <f t="shared" si="1"/>
        <v>6645.0603979183024</v>
      </c>
      <c r="O2" s="50">
        <f t="shared" si="1"/>
        <v>6898.9966345530374</v>
      </c>
      <c r="P2" s="50">
        <f t="shared" si="1"/>
        <v>7160.4322964939947</v>
      </c>
      <c r="Q2" s="50">
        <f t="shared" si="1"/>
        <v>7429.5657862587686</v>
      </c>
      <c r="R2" s="50">
        <f t="shared" si="1"/>
        <v>7706.600442695536</v>
      </c>
      <c r="S2" s="50">
        <f t="shared" si="1"/>
        <v>7860.7324515494465</v>
      </c>
    </row>
    <row r="3" spans="1:21" ht="14.25" customHeight="1" x14ac:dyDescent="0.35">
      <c r="A3" t="s">
        <v>118</v>
      </c>
      <c r="B3" s="51">
        <f t="shared" ref="B3:H3" si="2">B2/B4</f>
        <v>0.18333333333333332</v>
      </c>
      <c r="C3" s="51">
        <f t="shared" si="2"/>
        <v>0.23798076923076922</v>
      </c>
      <c r="D3" s="51">
        <f t="shared" si="2"/>
        <v>0.30891734467455623</v>
      </c>
      <c r="E3" s="51">
        <f t="shared" si="2"/>
        <v>0.37857517729725026</v>
      </c>
      <c r="F3" s="51">
        <f t="shared" si="2"/>
        <v>0.46394016825643414</v>
      </c>
      <c r="G3" s="51">
        <f t="shared" si="2"/>
        <v>0.56855412776523784</v>
      </c>
      <c r="H3" s="51">
        <f t="shared" si="2"/>
        <v>0.66888720913557387</v>
      </c>
      <c r="I3" s="52">
        <v>0.65</v>
      </c>
      <c r="J3" s="52">
        <v>0.68</v>
      </c>
      <c r="K3" s="52">
        <v>0.75</v>
      </c>
      <c r="L3" s="52">
        <f>K3+0.03</f>
        <v>0.78</v>
      </c>
      <c r="M3" s="52">
        <f>L3+0.03</f>
        <v>0.81</v>
      </c>
      <c r="N3" s="52">
        <f>M3+0.03</f>
        <v>0.84000000000000008</v>
      </c>
      <c r="O3" s="52">
        <f>N3+0.015</f>
        <v>0.85500000000000009</v>
      </c>
      <c r="P3" s="52">
        <f>O3+0.015</f>
        <v>0.87000000000000011</v>
      </c>
      <c r="Q3" s="52">
        <f>P3+0.015</f>
        <v>0.88500000000000012</v>
      </c>
      <c r="R3" s="52">
        <f>Q3+0.015</f>
        <v>0.90000000000000013</v>
      </c>
      <c r="S3" s="52">
        <v>0.9</v>
      </c>
    </row>
    <row r="4" spans="1:21" ht="14.25" customHeight="1" x14ac:dyDescent="0.35">
      <c r="A4" t="s">
        <v>119</v>
      </c>
      <c r="B4">
        <v>6000</v>
      </c>
      <c r="C4" s="50">
        <f>B4*1.04</f>
        <v>6240</v>
      </c>
      <c r="D4" s="50">
        <f>C4*1.04</f>
        <v>6489.6</v>
      </c>
      <c r="E4" s="50">
        <f t="shared" ref="E4:S4" si="3">D4*1.02</f>
        <v>6619.3920000000007</v>
      </c>
      <c r="F4" s="50">
        <f t="shared" si="3"/>
        <v>6751.7798400000011</v>
      </c>
      <c r="G4" s="50">
        <f t="shared" si="3"/>
        <v>6886.8154368000014</v>
      </c>
      <c r="H4" s="50">
        <f t="shared" si="3"/>
        <v>7024.5517455360014</v>
      </c>
      <c r="I4" s="50">
        <f t="shared" si="3"/>
        <v>7165.0427804467217</v>
      </c>
      <c r="J4" s="50">
        <f t="shared" si="3"/>
        <v>7308.3436360556561</v>
      </c>
      <c r="K4" s="50">
        <f t="shared" si="3"/>
        <v>7454.5105087767697</v>
      </c>
      <c r="L4" s="50">
        <f t="shared" si="3"/>
        <v>7603.6007189523052</v>
      </c>
      <c r="M4" s="50">
        <f t="shared" si="3"/>
        <v>7755.6727333313511</v>
      </c>
      <c r="N4" s="50">
        <f t="shared" si="3"/>
        <v>7910.7861879979782</v>
      </c>
      <c r="O4" s="50">
        <f t="shared" si="3"/>
        <v>8069.0019117579377</v>
      </c>
      <c r="P4" s="50">
        <f t="shared" si="3"/>
        <v>8230.381949993096</v>
      </c>
      <c r="Q4" s="50">
        <f t="shared" si="3"/>
        <v>8394.9895889929576</v>
      </c>
      <c r="R4" s="50">
        <f t="shared" si="3"/>
        <v>8562.8893807728164</v>
      </c>
      <c r="S4" s="50">
        <f t="shared" si="3"/>
        <v>8734.1471683882737</v>
      </c>
    </row>
    <row r="5" spans="1:21" ht="14.25" customHeight="1" x14ac:dyDescent="0.35">
      <c r="A5" t="s">
        <v>120</v>
      </c>
      <c r="B5" s="50">
        <f>C5*0.99</f>
        <v>8217</v>
      </c>
      <c r="C5" s="50">
        <v>8300</v>
      </c>
      <c r="D5" s="50">
        <f>C5*1.008</f>
        <v>8366.4</v>
      </c>
      <c r="E5" s="50">
        <f>D5*1.008</f>
        <v>8433.3312000000005</v>
      </c>
      <c r="F5" s="50">
        <f>E5*1.008</f>
        <v>8500.7978496000014</v>
      </c>
      <c r="G5" s="50">
        <f>F5*1.008</f>
        <v>8568.804232396802</v>
      </c>
      <c r="H5" s="50">
        <f>G5*1.007</f>
        <v>8628.7858620235784</v>
      </c>
      <c r="I5" s="50">
        <f>H5*1.007</f>
        <v>8689.1873630577429</v>
      </c>
      <c r="J5" s="50">
        <f>I5*1.007</f>
        <v>8750.0116745991454</v>
      </c>
      <c r="K5" s="50">
        <f t="shared" ref="K5:S5" si="4">J5*1.006</f>
        <v>8802.5117446467411</v>
      </c>
      <c r="L5" s="50">
        <f t="shared" si="4"/>
        <v>8855.3268151146221</v>
      </c>
      <c r="M5" s="50">
        <f t="shared" si="4"/>
        <v>8908.4587760053091</v>
      </c>
      <c r="N5" s="50">
        <f t="shared" si="4"/>
        <v>8961.909528661341</v>
      </c>
      <c r="O5" s="50">
        <f t="shared" si="4"/>
        <v>9015.680985833309</v>
      </c>
      <c r="P5" s="50">
        <f t="shared" si="4"/>
        <v>9069.7750717483086</v>
      </c>
      <c r="Q5" s="50">
        <f t="shared" si="4"/>
        <v>9124.1937221787994</v>
      </c>
      <c r="R5" s="50">
        <f t="shared" si="4"/>
        <v>9178.9388845118719</v>
      </c>
      <c r="S5" s="50">
        <f t="shared" si="4"/>
        <v>9234.0125178189428</v>
      </c>
    </row>
    <row r="7" spans="1:21" s="47" customFormat="1" ht="14.25" customHeight="1" x14ac:dyDescent="0.35">
      <c r="A7" s="53" t="s">
        <v>121</v>
      </c>
      <c r="B7" s="48">
        <f t="shared" ref="B7:S7" si="5">SUM(B9:B11)</f>
        <v>124.3022</v>
      </c>
      <c r="C7" s="48">
        <f t="shared" si="5"/>
        <v>442.23933750000003</v>
      </c>
      <c r="D7" s="48">
        <f t="shared" si="5"/>
        <v>732.20781968749998</v>
      </c>
      <c r="E7" s="48">
        <f t="shared" si="5"/>
        <v>1308.8121907792968</v>
      </c>
      <c r="F7" s="48">
        <f t="shared" si="5"/>
        <v>2093.0443887415549</v>
      </c>
      <c r="G7" s="48">
        <f t="shared" si="5"/>
        <v>3132.0811665828292</v>
      </c>
      <c r="H7" s="48">
        <f t="shared" si="5"/>
        <v>4398.7355981132177</v>
      </c>
      <c r="I7" s="48">
        <f t="shared" si="5"/>
        <v>5697.9388741696312</v>
      </c>
      <c r="J7" s="48">
        <f t="shared" si="5"/>
        <v>7081.9013897305858</v>
      </c>
      <c r="K7" s="48">
        <f t="shared" si="5"/>
        <v>8662.2216957131004</v>
      </c>
      <c r="L7" s="48">
        <f t="shared" si="5"/>
        <v>10198.494284111679</v>
      </c>
      <c r="M7" s="48">
        <f t="shared" si="5"/>
        <v>11911.529366590587</v>
      </c>
      <c r="N7" s="48">
        <f t="shared" si="5"/>
        <v>13844.981925519069</v>
      </c>
      <c r="O7" s="48">
        <f t="shared" si="5"/>
        <v>15950.40720780674</v>
      </c>
      <c r="P7" s="48">
        <f t="shared" si="5"/>
        <v>17477.383806618338</v>
      </c>
      <c r="Q7" s="48">
        <f t="shared" si="5"/>
        <v>19009.883786030889</v>
      </c>
      <c r="R7" s="48">
        <f t="shared" si="5"/>
        <v>20723.455341937159</v>
      </c>
      <c r="S7" s="48">
        <f t="shared" si="5"/>
        <v>22533.006901947901</v>
      </c>
      <c r="T7" s="53">
        <f>(M7/B7)^0.1-1</f>
        <v>0.57815214905050105</v>
      </c>
      <c r="U7" s="54"/>
    </row>
    <row r="8" spans="1:21" s="47" customFormat="1" ht="14.25" customHeight="1" x14ac:dyDescent="0.35">
      <c r="A8" s="53"/>
      <c r="B8" s="48"/>
      <c r="C8" s="55">
        <f t="shared" ref="C8:S8" si="6">C7/B7-1</f>
        <v>2.5577756266582572</v>
      </c>
      <c r="D8" s="55">
        <f t="shared" si="6"/>
        <v>0.6556822462395715</v>
      </c>
      <c r="E8" s="55">
        <f t="shared" si="6"/>
        <v>0.78748731656251181</v>
      </c>
      <c r="F8" s="55">
        <f t="shared" si="6"/>
        <v>0.59919383658499425</v>
      </c>
      <c r="G8" s="55">
        <f t="shared" si="6"/>
        <v>0.49642367043443181</v>
      </c>
      <c r="H8" s="56">
        <f t="shared" si="6"/>
        <v>0.40441302896129505</v>
      </c>
      <c r="I8" s="56">
        <f t="shared" si="6"/>
        <v>0.29535834720634035</v>
      </c>
      <c r="J8" s="56">
        <f t="shared" si="6"/>
        <v>0.24288826997334922</v>
      </c>
      <c r="K8" s="56">
        <f t="shared" si="6"/>
        <v>0.22314915430397342</v>
      </c>
      <c r="L8" s="56">
        <f t="shared" si="6"/>
        <v>0.17735318286287605</v>
      </c>
      <c r="M8" s="56">
        <f t="shared" si="6"/>
        <v>0.16796941144024169</v>
      </c>
      <c r="N8" s="56">
        <f t="shared" si="6"/>
        <v>0.16231774270325205</v>
      </c>
      <c r="O8" s="56">
        <f t="shared" si="6"/>
        <v>0.15207136373410157</v>
      </c>
      <c r="P8" s="56">
        <f t="shared" si="6"/>
        <v>9.5732765873477899E-2</v>
      </c>
      <c r="Q8" s="56">
        <f t="shared" si="6"/>
        <v>8.7684747120574391E-2</v>
      </c>
      <c r="R8" s="56">
        <f t="shared" si="6"/>
        <v>9.0141085300345702E-2</v>
      </c>
      <c r="S8" s="56">
        <f t="shared" si="6"/>
        <v>8.7319007865876097E-2</v>
      </c>
      <c r="T8" s="53"/>
    </row>
    <row r="9" spans="1:21" ht="14.25" customHeight="1" x14ac:dyDescent="0.35">
      <c r="A9" s="57" t="s">
        <v>122</v>
      </c>
      <c r="B9" s="58">
        <f t="shared" ref="B9:S9" si="7">B22</f>
        <v>38.94</v>
      </c>
      <c r="C9" s="58">
        <f t="shared" si="7"/>
        <v>68.217187499999994</v>
      </c>
      <c r="D9" s="58">
        <f t="shared" si="7"/>
        <v>115.15334118750003</v>
      </c>
      <c r="E9" s="58">
        <f t="shared" si="7"/>
        <v>186.96531865429696</v>
      </c>
      <c r="F9" s="58">
        <f t="shared" si="7"/>
        <v>292.41433856250018</v>
      </c>
      <c r="G9" s="58">
        <f t="shared" si="7"/>
        <v>445.51066401349675</v>
      </c>
      <c r="H9" s="58">
        <f t="shared" si="7"/>
        <v>639.10666091627706</v>
      </c>
      <c r="I9" s="58">
        <f t="shared" si="7"/>
        <v>746.08837446584744</v>
      </c>
      <c r="J9" s="58">
        <f t="shared" si="7"/>
        <v>926.61989337016462</v>
      </c>
      <c r="K9" s="58">
        <f t="shared" si="7"/>
        <v>1233.7761236247138</v>
      </c>
      <c r="L9" s="58">
        <f t="shared" si="7"/>
        <v>1547.1550508663265</v>
      </c>
      <c r="M9" s="58">
        <f t="shared" si="7"/>
        <v>1913.060750253554</v>
      </c>
      <c r="N9" s="58">
        <f t="shared" si="7"/>
        <v>2338.38377678292</v>
      </c>
      <c r="O9" s="58">
        <f t="shared" si="7"/>
        <v>2781.9932735198427</v>
      </c>
      <c r="P9" s="58">
        <f t="shared" si="7"/>
        <v>3285.5582597758034</v>
      </c>
      <c r="Q9" s="58">
        <f t="shared" si="7"/>
        <v>3703.0666983040837</v>
      </c>
      <c r="R9" s="58">
        <f t="shared" si="7"/>
        <v>4167.7848471876287</v>
      </c>
      <c r="S9" s="58">
        <f t="shared" si="7"/>
        <v>4607.8331135002263</v>
      </c>
      <c r="T9" s="51">
        <f>(S9/B9)^(1/17)-1</f>
        <v>0.32418024818079294</v>
      </c>
    </row>
    <row r="10" spans="1:21" ht="14.25" customHeight="1" x14ac:dyDescent="0.35">
      <c r="A10" s="57" t="s">
        <v>123</v>
      </c>
      <c r="B10" s="58">
        <f t="shared" ref="B10:S10" si="8">B38</f>
        <v>85</v>
      </c>
      <c r="C10" s="58">
        <f t="shared" si="8"/>
        <v>373.44749999999999</v>
      </c>
      <c r="D10" s="58">
        <f t="shared" si="8"/>
        <v>616.06389249999995</v>
      </c>
      <c r="E10" s="58">
        <f t="shared" si="8"/>
        <v>1120.0041565649999</v>
      </c>
      <c r="F10" s="58">
        <f t="shared" si="8"/>
        <v>1797.3577814742548</v>
      </c>
      <c r="G10" s="58">
        <f t="shared" si="8"/>
        <v>2681.7395080405645</v>
      </c>
      <c r="H10" s="58">
        <f t="shared" si="8"/>
        <v>3750.3095581674966</v>
      </c>
      <c r="I10" s="58">
        <f t="shared" si="8"/>
        <v>4936.7824920530875</v>
      </c>
      <c r="J10" s="58">
        <f t="shared" si="8"/>
        <v>6130.0318602793313</v>
      </c>
      <c r="K10" s="58">
        <f t="shared" si="8"/>
        <v>7390.4954640550841</v>
      </c>
      <c r="L10" s="58">
        <f t="shared" si="8"/>
        <v>8584.0604814999788</v>
      </c>
      <c r="M10" s="58">
        <f t="shared" si="8"/>
        <v>9894.9958050334026</v>
      </c>
      <c r="N10" s="58">
        <f t="shared" si="8"/>
        <v>11333.134495336957</v>
      </c>
      <c r="O10" s="58">
        <f t="shared" si="8"/>
        <v>12909.069808771868</v>
      </c>
      <c r="P10" s="58">
        <f t="shared" si="8"/>
        <v>13784.482797941895</v>
      </c>
      <c r="Q10" s="58">
        <f t="shared" si="8"/>
        <v>14718.570336033938</v>
      </c>
      <c r="R10" s="58">
        <f t="shared" si="8"/>
        <v>15715.227813073954</v>
      </c>
      <c r="S10" s="58">
        <f t="shared" si="8"/>
        <v>16778.607197763344</v>
      </c>
      <c r="T10" s="51">
        <f>(S10/B10)^(1/17)-1</f>
        <v>0.36464542143406975</v>
      </c>
    </row>
    <row r="11" spans="1:21" ht="14.25" customHeight="1" x14ac:dyDescent="0.35">
      <c r="A11" s="57" t="s">
        <v>124</v>
      </c>
      <c r="B11" s="58">
        <f t="shared" ref="B11:S11" si="9">B58</f>
        <v>0.36219999999999997</v>
      </c>
      <c r="C11" s="58">
        <f t="shared" si="9"/>
        <v>0.57464999999999999</v>
      </c>
      <c r="D11" s="58">
        <f t="shared" si="9"/>
        <v>0.99058600000000008</v>
      </c>
      <c r="E11" s="58">
        <f t="shared" si="9"/>
        <v>1.8427155600000003</v>
      </c>
      <c r="F11" s="58">
        <f t="shared" si="9"/>
        <v>3.2722687048000001</v>
      </c>
      <c r="G11" s="58">
        <f t="shared" si="9"/>
        <v>4.8309945287680005</v>
      </c>
      <c r="H11" s="58">
        <f t="shared" si="9"/>
        <v>9.3193790294441605</v>
      </c>
      <c r="I11" s="58">
        <f t="shared" si="9"/>
        <v>15.068007650695595</v>
      </c>
      <c r="J11" s="58">
        <f t="shared" si="9"/>
        <v>25.249636081089882</v>
      </c>
      <c r="K11" s="58">
        <f t="shared" si="9"/>
        <v>37.950108033302442</v>
      </c>
      <c r="L11" s="58">
        <f t="shared" si="9"/>
        <v>67.278751745374436</v>
      </c>
      <c r="M11" s="58">
        <f t="shared" si="9"/>
        <v>103.47281130363126</v>
      </c>
      <c r="N11" s="58">
        <f t="shared" si="9"/>
        <v>173.46365339919205</v>
      </c>
      <c r="O11" s="58">
        <f t="shared" si="9"/>
        <v>259.34412551502766</v>
      </c>
      <c r="P11" s="58">
        <f t="shared" si="9"/>
        <v>407.3427489006408</v>
      </c>
      <c r="Q11" s="58">
        <f t="shared" si="9"/>
        <v>588.24675169286741</v>
      </c>
      <c r="R11" s="58">
        <f t="shared" si="9"/>
        <v>840.4426816755755</v>
      </c>
      <c r="S11" s="58">
        <f t="shared" si="9"/>
        <v>1146.5665906843305</v>
      </c>
      <c r="T11" s="51">
        <f>(S11/B11)^(1/17)-1</f>
        <v>0.60660410675634946</v>
      </c>
    </row>
    <row r="12" spans="1:21" ht="14.25" customHeight="1" x14ac:dyDescent="0.3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1"/>
    </row>
    <row r="13" spans="1:21" ht="14.25" customHeight="1" x14ac:dyDescent="0.35">
      <c r="A13" s="59" t="s">
        <v>125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1"/>
    </row>
    <row r="14" spans="1:21" ht="14.25" customHeight="1" x14ac:dyDescent="0.35">
      <c r="A14" s="60" t="s">
        <v>122</v>
      </c>
      <c r="B14" s="55">
        <f t="shared" ref="B14:S14" si="10">B9/B$7</f>
        <v>0.3132687917028017</v>
      </c>
      <c r="C14" s="55">
        <f t="shared" si="10"/>
        <v>0.15425400165809536</v>
      </c>
      <c r="D14" s="55">
        <f t="shared" si="10"/>
        <v>0.15726865801111833</v>
      </c>
      <c r="E14" s="55">
        <f t="shared" si="10"/>
        <v>0.14285114393912662</v>
      </c>
      <c r="F14" s="55">
        <f t="shared" si="10"/>
        <v>0.13970766226239215</v>
      </c>
      <c r="G14" s="55">
        <f t="shared" si="10"/>
        <v>0.14224109795326884</v>
      </c>
      <c r="H14" s="55">
        <f t="shared" si="10"/>
        <v>0.14529326590814273</v>
      </c>
      <c r="I14" s="55">
        <f t="shared" si="10"/>
        <v>0.13094004532903591</v>
      </c>
      <c r="J14" s="55">
        <f t="shared" si="10"/>
        <v>0.130843376993903</v>
      </c>
      <c r="K14" s="55">
        <f t="shared" si="10"/>
        <v>0.14243183411425556</v>
      </c>
      <c r="L14" s="55">
        <f t="shared" si="10"/>
        <v>0.15170426219453323</v>
      </c>
      <c r="M14" s="55">
        <f t="shared" si="10"/>
        <v>0.16060580395488927</v>
      </c>
      <c r="N14" s="55">
        <f t="shared" si="10"/>
        <v>0.16889756804036063</v>
      </c>
      <c r="O14" s="55">
        <f t="shared" si="10"/>
        <v>0.17441518810618381</v>
      </c>
      <c r="P14" s="55">
        <f t="shared" si="10"/>
        <v>0.1879891347657896</v>
      </c>
      <c r="Q14" s="55">
        <f t="shared" si="10"/>
        <v>0.19479691406768218</v>
      </c>
      <c r="R14" s="55">
        <f t="shared" si="10"/>
        <v>0.20111437877608485</v>
      </c>
      <c r="S14" s="55">
        <f t="shared" si="10"/>
        <v>0.20449259761696051</v>
      </c>
      <c r="T14" s="51"/>
    </row>
    <row r="15" spans="1:21" ht="14.25" customHeight="1" x14ac:dyDescent="0.35">
      <c r="A15" s="60" t="s">
        <v>123</v>
      </c>
      <c r="B15" s="55">
        <f t="shared" ref="B15:S15" si="11">B10/B$7</f>
        <v>0.68381734192958776</v>
      </c>
      <c r="C15" s="55">
        <f t="shared" si="11"/>
        <v>0.84444658883381207</v>
      </c>
      <c r="D15" s="55">
        <f t="shared" si="11"/>
        <v>0.84137846651641979</v>
      </c>
      <c r="E15" s="55">
        <f t="shared" si="11"/>
        <v>0.85574092635714505</v>
      </c>
      <c r="F15" s="55">
        <f t="shared" si="11"/>
        <v>0.85872893625295643</v>
      </c>
      <c r="G15" s="55">
        <f t="shared" si="11"/>
        <v>0.85621647888723218</v>
      </c>
      <c r="H15" s="55">
        <f t="shared" si="11"/>
        <v>0.85258808457961066</v>
      </c>
      <c r="I15" s="55">
        <f t="shared" si="11"/>
        <v>0.86641548831506765</v>
      </c>
      <c r="J15" s="55">
        <f t="shared" si="11"/>
        <v>0.86559124773587592</v>
      </c>
      <c r="K15" s="55">
        <f t="shared" si="11"/>
        <v>0.85318706027953672</v>
      </c>
      <c r="L15" s="55">
        <f t="shared" si="11"/>
        <v>0.84169880791845519</v>
      </c>
      <c r="M15" s="55">
        <f t="shared" si="11"/>
        <v>0.8307074180404449</v>
      </c>
      <c r="N15" s="55">
        <f t="shared" si="11"/>
        <v>0.81857344099870044</v>
      </c>
      <c r="O15" s="55">
        <f t="shared" si="11"/>
        <v>0.80932540721930124</v>
      </c>
      <c r="P15" s="55">
        <f t="shared" si="11"/>
        <v>0.7887040160279587</v>
      </c>
      <c r="Q15" s="55">
        <f t="shared" si="11"/>
        <v>0.77425882776041199</v>
      </c>
      <c r="R15" s="55">
        <f t="shared" si="11"/>
        <v>0.75833047885946547</v>
      </c>
      <c r="S15" s="55">
        <f t="shared" si="11"/>
        <v>0.74462353252609581</v>
      </c>
    </row>
    <row r="16" spans="1:21" ht="14.25" customHeight="1" x14ac:dyDescent="0.35">
      <c r="A16" s="60" t="s">
        <v>124</v>
      </c>
      <c r="B16" s="55">
        <f t="shared" ref="B16:S16" si="12">B11/B$7</f>
        <v>2.913866367610549E-3</v>
      </c>
      <c r="C16" s="55">
        <f t="shared" si="12"/>
        <v>1.2994095080924365E-3</v>
      </c>
      <c r="D16" s="55">
        <f t="shared" si="12"/>
        <v>1.3528754724618671E-3</v>
      </c>
      <c r="E16" s="55">
        <f t="shared" si="12"/>
        <v>1.4079297037283898E-3</v>
      </c>
      <c r="F16" s="55">
        <f t="shared" si="12"/>
        <v>1.5634014846514818E-3</v>
      </c>
      <c r="G16" s="55">
        <f t="shared" si="12"/>
        <v>1.5424231594989997E-3</v>
      </c>
      <c r="H16" s="55">
        <f t="shared" si="12"/>
        <v>2.1186495122465627E-3</v>
      </c>
      <c r="I16" s="55">
        <f t="shared" si="12"/>
        <v>2.6444663558963639E-3</v>
      </c>
      <c r="J16" s="55">
        <f t="shared" si="12"/>
        <v>3.5653752702211015E-3</v>
      </c>
      <c r="K16" s="55">
        <f t="shared" si="12"/>
        <v>4.3811056062076775E-3</v>
      </c>
      <c r="L16" s="55">
        <f t="shared" si="12"/>
        <v>6.5969298870117103E-3</v>
      </c>
      <c r="M16" s="55">
        <f t="shared" si="12"/>
        <v>8.6867780046659179E-3</v>
      </c>
      <c r="N16" s="55">
        <f t="shared" si="12"/>
        <v>1.2528990960938987E-2</v>
      </c>
      <c r="O16" s="55">
        <f t="shared" si="12"/>
        <v>1.625940467451481E-2</v>
      </c>
      <c r="P16" s="55">
        <f t="shared" si="12"/>
        <v>2.3306849206251808E-2</v>
      </c>
      <c r="Q16" s="55">
        <f t="shared" si="12"/>
        <v>3.0944258171905881E-2</v>
      </c>
      <c r="R16" s="55">
        <f t="shared" si="12"/>
        <v>4.0555142364449626E-2</v>
      </c>
      <c r="S16" s="55">
        <f t="shared" si="12"/>
        <v>5.0883869856943674E-2</v>
      </c>
    </row>
    <row r="18" spans="1:20" ht="23.25" customHeight="1" x14ac:dyDescent="0.55000000000000004">
      <c r="A18" s="61" t="s">
        <v>122</v>
      </c>
    </row>
    <row r="19" spans="1:20" ht="14.25" customHeight="1" x14ac:dyDescent="0.35">
      <c r="A19" s="47" t="s">
        <v>126</v>
      </c>
      <c r="B19" s="48">
        <f t="shared" ref="B19:S19" si="13">(B22+B38)*365</f>
        <v>45238.1</v>
      </c>
      <c r="C19" s="48">
        <f t="shared" si="13"/>
        <v>161207.61093749999</v>
      </c>
      <c r="D19" s="48">
        <f t="shared" si="13"/>
        <v>266894.29029593751</v>
      </c>
      <c r="E19" s="48">
        <f t="shared" si="13"/>
        <v>477043.85845504334</v>
      </c>
      <c r="F19" s="48">
        <f t="shared" si="13"/>
        <v>762766.8238134156</v>
      </c>
      <c r="G19" s="48">
        <f t="shared" si="13"/>
        <v>1141446.3127997324</v>
      </c>
      <c r="H19" s="48">
        <f t="shared" si="13"/>
        <v>1602136.9199655773</v>
      </c>
      <c r="I19" s="48">
        <f t="shared" si="13"/>
        <v>2074247.8662794114</v>
      </c>
      <c r="J19" s="48">
        <f t="shared" si="13"/>
        <v>2575677.8900820659</v>
      </c>
      <c r="K19" s="48">
        <f t="shared" si="13"/>
        <v>3147859.1295031263</v>
      </c>
      <c r="L19" s="48">
        <f t="shared" si="13"/>
        <v>3697893.6693137013</v>
      </c>
      <c r="M19" s="48">
        <f t="shared" si="13"/>
        <v>4309940.6426797388</v>
      </c>
      <c r="N19" s="48">
        <f t="shared" si="13"/>
        <v>4990104.1693237545</v>
      </c>
      <c r="O19" s="48">
        <f t="shared" si="13"/>
        <v>5727238.0250364747</v>
      </c>
      <c r="P19" s="48">
        <f t="shared" si="13"/>
        <v>6230564.9860669598</v>
      </c>
      <c r="Q19" s="48">
        <f t="shared" si="13"/>
        <v>6723897.5175333777</v>
      </c>
      <c r="R19" s="48">
        <f t="shared" si="13"/>
        <v>7257299.6209954778</v>
      </c>
      <c r="S19" s="48">
        <f t="shared" si="13"/>
        <v>7806050.7136112032</v>
      </c>
      <c r="T19" s="47" t="s">
        <v>127</v>
      </c>
    </row>
    <row r="20" spans="1:20" s="51" customFormat="1" ht="14.25" customHeight="1" x14ac:dyDescent="0.35">
      <c r="A20" s="51" t="s">
        <v>128</v>
      </c>
      <c r="C20" s="51">
        <f t="shared" ref="C20:S20" si="14">C19/B19-1</f>
        <v>2.5635362877198644</v>
      </c>
      <c r="D20" s="51">
        <f t="shared" si="14"/>
        <v>0.65559360841475489</v>
      </c>
      <c r="E20" s="51">
        <f t="shared" si="14"/>
        <v>0.78738877450727007</v>
      </c>
      <c r="F20" s="51">
        <f t="shared" si="14"/>
        <v>0.5989448565247566</v>
      </c>
      <c r="G20" s="51">
        <f t="shared" si="14"/>
        <v>0.4964551120526286</v>
      </c>
      <c r="H20" s="52">
        <f t="shared" si="14"/>
        <v>0.40360251901455246</v>
      </c>
      <c r="I20" s="52">
        <f t="shared" si="14"/>
        <v>0.29467577984781568</v>
      </c>
      <c r="J20" s="52">
        <f t="shared" si="14"/>
        <v>0.24174064823895525</v>
      </c>
      <c r="K20" s="52">
        <f t="shared" si="14"/>
        <v>0.22214782431619562</v>
      </c>
      <c r="L20" s="52">
        <f t="shared" si="14"/>
        <v>0.17473289533683656</v>
      </c>
      <c r="M20" s="52">
        <f t="shared" si="14"/>
        <v>0.1655123235275795</v>
      </c>
      <c r="N20" s="52">
        <f t="shared" si="14"/>
        <v>0.15781273642346938</v>
      </c>
      <c r="O20" s="52">
        <f t="shared" si="14"/>
        <v>0.14771913184582175</v>
      </c>
      <c r="P20" s="52">
        <f t="shared" si="14"/>
        <v>8.7883017753095594E-2</v>
      </c>
      <c r="Q20" s="52">
        <f t="shared" si="14"/>
        <v>7.9179421540362283E-2</v>
      </c>
      <c r="R20" s="52">
        <f t="shared" si="14"/>
        <v>7.9329302992972472E-2</v>
      </c>
      <c r="S20" s="52">
        <f t="shared" si="14"/>
        <v>7.5613674682547316E-2</v>
      </c>
      <c r="T20" s="53">
        <f>(M19/B19)^0.1-1</f>
        <v>0.5772360439513553</v>
      </c>
    </row>
    <row r="21" spans="1:20" ht="14.25" customHeight="1" x14ac:dyDescent="0.35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22" spans="1:20" ht="14.25" customHeight="1" x14ac:dyDescent="0.35">
      <c r="A22" s="47" t="s">
        <v>129</v>
      </c>
      <c r="B22" s="62">
        <f t="shared" ref="B22:S22" si="15">B23*((B2))*0.000001</f>
        <v>38.94</v>
      </c>
      <c r="C22" s="62">
        <f t="shared" si="15"/>
        <v>68.217187499999994</v>
      </c>
      <c r="D22" s="62">
        <f t="shared" si="15"/>
        <v>115.15334118750003</v>
      </c>
      <c r="E22" s="62">
        <f t="shared" si="15"/>
        <v>186.96531865429696</v>
      </c>
      <c r="F22" s="62">
        <f t="shared" si="15"/>
        <v>292.41433856250018</v>
      </c>
      <c r="G22" s="62">
        <f t="shared" si="15"/>
        <v>445.51066401349675</v>
      </c>
      <c r="H22" s="62">
        <f t="shared" si="15"/>
        <v>639.10666091627706</v>
      </c>
      <c r="I22" s="62">
        <f t="shared" si="15"/>
        <v>746.08837446584744</v>
      </c>
      <c r="J22" s="62">
        <f t="shared" si="15"/>
        <v>926.61989337016462</v>
      </c>
      <c r="K22" s="62">
        <f t="shared" si="15"/>
        <v>1233.7761236247138</v>
      </c>
      <c r="L22" s="62">
        <f t="shared" si="15"/>
        <v>1547.1550508663265</v>
      </c>
      <c r="M22" s="62">
        <f t="shared" si="15"/>
        <v>1913.060750253554</v>
      </c>
      <c r="N22" s="62">
        <f t="shared" si="15"/>
        <v>2338.38377678292</v>
      </c>
      <c r="O22" s="62">
        <f t="shared" si="15"/>
        <v>2781.9932735198427</v>
      </c>
      <c r="P22" s="62">
        <f t="shared" si="15"/>
        <v>3285.5582597758034</v>
      </c>
      <c r="Q22" s="62">
        <f t="shared" si="15"/>
        <v>3703.0666983040837</v>
      </c>
      <c r="R22" s="62">
        <f t="shared" si="15"/>
        <v>4167.7848471876287</v>
      </c>
      <c r="S22" s="62">
        <f t="shared" si="15"/>
        <v>4607.8331135002263</v>
      </c>
    </row>
    <row r="23" spans="1:20" ht="14.25" customHeight="1" x14ac:dyDescent="0.35">
      <c r="A23" s="59" t="s">
        <v>130</v>
      </c>
      <c r="B23" s="48">
        <f>(SUMPRODUCT(B24:B27,B31:B34))*B28</f>
        <v>35400</v>
      </c>
      <c r="C23" s="48">
        <f t="shared" ref="C23:S23" si="16">SUMPRODUCT(C24:C27,C31:C34)*C28</f>
        <v>45937.5</v>
      </c>
      <c r="D23" s="48">
        <f t="shared" si="16"/>
        <v>57440.250000000015</v>
      </c>
      <c r="E23" s="48">
        <f t="shared" si="16"/>
        <v>74608.931250000023</v>
      </c>
      <c r="F23" s="48">
        <f t="shared" si="16"/>
        <v>93350.880000000048</v>
      </c>
      <c r="G23" s="48">
        <f t="shared" si="16"/>
        <v>113780.50129687508</v>
      </c>
      <c r="H23" s="48">
        <f t="shared" si="16"/>
        <v>136019.7075234376</v>
      </c>
      <c r="I23" s="48">
        <f t="shared" si="16"/>
        <v>160198.38311941412</v>
      </c>
      <c r="J23" s="48">
        <f t="shared" si="16"/>
        <v>186454.87700617974</v>
      </c>
      <c r="K23" s="48">
        <f t="shared" si="16"/>
        <v>220676.43872294395</v>
      </c>
      <c r="L23" s="48">
        <f t="shared" si="16"/>
        <v>260867.47447840738</v>
      </c>
      <c r="M23" s="48">
        <f t="shared" si="16"/>
        <v>304525.92271260975</v>
      </c>
      <c r="N23" s="48">
        <f t="shared" si="16"/>
        <v>351898.04708403634</v>
      </c>
      <c r="O23" s="48">
        <f t="shared" si="16"/>
        <v>403246.06908582419</v>
      </c>
      <c r="P23" s="48">
        <f t="shared" si="16"/>
        <v>458849.14817008062</v>
      </c>
      <c r="Q23" s="48">
        <f t="shared" si="16"/>
        <v>498423.03101387568</v>
      </c>
      <c r="R23" s="48">
        <f t="shared" si="16"/>
        <v>540807.17927162501</v>
      </c>
      <c r="S23" s="48">
        <f t="shared" si="16"/>
        <v>586183.68477761466</v>
      </c>
      <c r="T23" s="53">
        <f>(M23/B23)^0.1-1</f>
        <v>0.24011539967997586</v>
      </c>
    </row>
    <row r="24" spans="1:20" ht="14.25" customHeight="1" x14ac:dyDescent="0.35">
      <c r="A24" s="60" t="s">
        <v>131</v>
      </c>
      <c r="B24" s="50">
        <v>2000</v>
      </c>
      <c r="C24" s="50">
        <v>2000</v>
      </c>
      <c r="D24" s="50">
        <v>2000</v>
      </c>
      <c r="E24" s="50">
        <v>2000</v>
      </c>
      <c r="F24" s="50">
        <v>2000</v>
      </c>
      <c r="G24" s="50">
        <v>2000</v>
      </c>
      <c r="H24" s="50">
        <v>2000</v>
      </c>
      <c r="I24" s="50">
        <v>2000</v>
      </c>
      <c r="J24" s="50">
        <v>2000</v>
      </c>
      <c r="K24" s="50">
        <v>2000</v>
      </c>
      <c r="L24" s="50">
        <v>2000</v>
      </c>
      <c r="M24" s="50">
        <v>2000</v>
      </c>
      <c r="N24" s="50">
        <v>2000</v>
      </c>
      <c r="O24" s="50">
        <v>2000</v>
      </c>
      <c r="P24" s="50">
        <v>2000</v>
      </c>
      <c r="Q24" s="50">
        <v>2000</v>
      </c>
      <c r="R24" s="50">
        <v>2000</v>
      </c>
      <c r="S24" s="50">
        <v>2000</v>
      </c>
      <c r="T24" t="s">
        <v>132</v>
      </c>
    </row>
    <row r="25" spans="1:20" ht="14.25" customHeight="1" x14ac:dyDescent="0.35">
      <c r="A25" s="60" t="s">
        <v>133</v>
      </c>
      <c r="B25" s="50">
        <v>15000</v>
      </c>
      <c r="C25" s="50">
        <v>15000</v>
      </c>
      <c r="D25" s="50">
        <v>15000</v>
      </c>
      <c r="E25" s="50">
        <v>15000</v>
      </c>
      <c r="F25" s="50">
        <v>15000</v>
      </c>
      <c r="G25" s="50">
        <v>15000</v>
      </c>
      <c r="H25" s="50">
        <v>15000</v>
      </c>
      <c r="I25" s="50">
        <v>15000</v>
      </c>
      <c r="J25" s="50">
        <v>15000</v>
      </c>
      <c r="K25" s="50">
        <v>15000</v>
      </c>
      <c r="L25" s="50">
        <v>15000</v>
      </c>
      <c r="M25" s="50">
        <v>15000</v>
      </c>
      <c r="N25" s="50">
        <v>15000</v>
      </c>
      <c r="O25" s="50">
        <v>15000</v>
      </c>
      <c r="P25" s="50">
        <v>15000</v>
      </c>
      <c r="Q25" s="50">
        <v>15000</v>
      </c>
      <c r="R25" s="50">
        <v>15000</v>
      </c>
      <c r="S25" s="50">
        <v>15000</v>
      </c>
      <c r="T25" t="s">
        <v>134</v>
      </c>
    </row>
    <row r="26" spans="1:20" ht="14.25" customHeight="1" x14ac:dyDescent="0.35">
      <c r="A26" s="60" t="s">
        <v>135</v>
      </c>
      <c r="B26" s="50">
        <v>200000</v>
      </c>
      <c r="C26" s="50">
        <v>200000</v>
      </c>
      <c r="D26" s="50">
        <v>200000</v>
      </c>
      <c r="E26" s="50">
        <v>200000</v>
      </c>
      <c r="F26" s="50">
        <v>200000</v>
      </c>
      <c r="G26" s="50">
        <v>200000</v>
      </c>
      <c r="H26" s="50">
        <v>200000</v>
      </c>
      <c r="I26" s="50">
        <v>200000</v>
      </c>
      <c r="J26" s="50">
        <v>200000</v>
      </c>
      <c r="K26" s="50">
        <v>200000</v>
      </c>
      <c r="L26" s="50">
        <v>200000</v>
      </c>
      <c r="M26" s="50">
        <v>200000</v>
      </c>
      <c r="N26" s="50">
        <v>200000</v>
      </c>
      <c r="O26" s="50">
        <v>200000</v>
      </c>
      <c r="P26" s="50">
        <v>200000</v>
      </c>
      <c r="Q26" s="50">
        <v>200000</v>
      </c>
      <c r="R26" s="50">
        <v>200000</v>
      </c>
      <c r="S26" s="50">
        <v>200000</v>
      </c>
      <c r="T26" t="s">
        <v>136</v>
      </c>
    </row>
    <row r="27" spans="1:20" ht="14.25" customHeight="1" x14ac:dyDescent="0.35">
      <c r="A27" s="60" t="s">
        <v>137</v>
      </c>
      <c r="B27" s="50">
        <v>1000000</v>
      </c>
      <c r="C27" s="50">
        <v>1000000</v>
      </c>
      <c r="D27" s="50">
        <v>1000000</v>
      </c>
      <c r="E27" s="50">
        <v>1000000</v>
      </c>
      <c r="F27" s="50">
        <v>1000000</v>
      </c>
      <c r="G27" s="50">
        <v>1000000</v>
      </c>
      <c r="H27" s="50">
        <v>1000000</v>
      </c>
      <c r="I27" s="50">
        <v>1000000</v>
      </c>
      <c r="J27" s="50">
        <v>1000000</v>
      </c>
      <c r="K27" s="50">
        <v>1000000</v>
      </c>
      <c r="L27" s="50">
        <v>1000000</v>
      </c>
      <c r="M27" s="50">
        <v>1000000</v>
      </c>
      <c r="N27" s="50">
        <v>1000000</v>
      </c>
      <c r="O27" s="50">
        <v>1000000</v>
      </c>
      <c r="P27" s="50">
        <v>1000000</v>
      </c>
      <c r="Q27" s="50">
        <v>1000000</v>
      </c>
      <c r="R27" s="50">
        <v>1000000</v>
      </c>
      <c r="S27" s="50">
        <v>1000000</v>
      </c>
      <c r="T27" t="s">
        <v>138</v>
      </c>
    </row>
    <row r="28" spans="1:20" ht="14.25" customHeight="1" x14ac:dyDescent="0.35">
      <c r="A28" s="60" t="s">
        <v>139</v>
      </c>
      <c r="B28" s="63">
        <v>1</v>
      </c>
      <c r="C28" s="63">
        <f t="shared" ref="C28:S28" si="17">B28*1.05</f>
        <v>1.05</v>
      </c>
      <c r="D28" s="63">
        <f t="shared" si="17"/>
        <v>1.1025</v>
      </c>
      <c r="E28" s="63">
        <f t="shared" si="17"/>
        <v>1.1576250000000001</v>
      </c>
      <c r="F28" s="63">
        <f t="shared" si="17"/>
        <v>1.2155062500000002</v>
      </c>
      <c r="G28" s="63">
        <f t="shared" si="17"/>
        <v>1.2762815625000004</v>
      </c>
      <c r="H28" s="63">
        <f t="shared" si="17"/>
        <v>1.3400956406250004</v>
      </c>
      <c r="I28" s="63">
        <f t="shared" si="17"/>
        <v>1.4071004226562505</v>
      </c>
      <c r="J28" s="63">
        <f t="shared" si="17"/>
        <v>1.477455443789063</v>
      </c>
      <c r="K28" s="63">
        <f t="shared" si="17"/>
        <v>1.5513282159785162</v>
      </c>
      <c r="L28" s="63">
        <f t="shared" si="17"/>
        <v>1.628894626777442</v>
      </c>
      <c r="M28" s="63">
        <f t="shared" si="17"/>
        <v>1.7103393581163142</v>
      </c>
      <c r="N28" s="63">
        <f t="shared" si="17"/>
        <v>1.7958563260221301</v>
      </c>
      <c r="O28" s="63">
        <f t="shared" si="17"/>
        <v>1.8856491423232367</v>
      </c>
      <c r="P28" s="63">
        <f t="shared" si="17"/>
        <v>1.9799315994393987</v>
      </c>
      <c r="Q28" s="63">
        <f t="shared" si="17"/>
        <v>2.0789281794113688</v>
      </c>
      <c r="R28" s="63">
        <f t="shared" si="17"/>
        <v>2.1828745883819374</v>
      </c>
      <c r="S28" s="63">
        <f t="shared" si="17"/>
        <v>2.2920183178010345</v>
      </c>
      <c r="T28" t="s">
        <v>140</v>
      </c>
    </row>
    <row r="30" spans="1:20" ht="14.25" customHeight="1" x14ac:dyDescent="0.35">
      <c r="A30" s="57" t="s">
        <v>125</v>
      </c>
    </row>
    <row r="31" spans="1:20" ht="14.25" customHeight="1" x14ac:dyDescent="0.35">
      <c r="A31" s="60" t="s">
        <v>131</v>
      </c>
      <c r="B31" s="51">
        <v>0.8</v>
      </c>
      <c r="C31" s="52">
        <f t="shared" ref="C31:O31" si="18">B31-0.05</f>
        <v>0.75</v>
      </c>
      <c r="D31" s="52">
        <f t="shared" si="18"/>
        <v>0.7</v>
      </c>
      <c r="E31" s="52">
        <f t="shared" si="18"/>
        <v>0.64999999999999991</v>
      </c>
      <c r="F31" s="52">
        <f t="shared" si="18"/>
        <v>0.59999999999999987</v>
      </c>
      <c r="G31" s="52">
        <f t="shared" si="18"/>
        <v>0.54999999999999982</v>
      </c>
      <c r="H31" s="52">
        <f t="shared" si="18"/>
        <v>0.49999999999999983</v>
      </c>
      <c r="I31" s="52">
        <f t="shared" si="18"/>
        <v>0.44999999999999984</v>
      </c>
      <c r="J31" s="52">
        <f t="shared" si="18"/>
        <v>0.39999999999999986</v>
      </c>
      <c r="K31" s="52">
        <f t="shared" si="18"/>
        <v>0.34999999999999987</v>
      </c>
      <c r="L31" s="52">
        <f t="shared" si="18"/>
        <v>0.29999999999999988</v>
      </c>
      <c r="M31" s="52">
        <f t="shared" si="18"/>
        <v>0.24999999999999989</v>
      </c>
      <c r="N31" s="52">
        <f t="shared" si="18"/>
        <v>0.1999999999999999</v>
      </c>
      <c r="O31" s="52">
        <f t="shared" si="18"/>
        <v>0.14999999999999991</v>
      </c>
      <c r="P31" s="52">
        <v>0.1</v>
      </c>
      <c r="Q31" s="52">
        <v>0.1</v>
      </c>
      <c r="R31" s="52">
        <v>0.1</v>
      </c>
      <c r="S31" s="52">
        <v>0.1</v>
      </c>
    </row>
    <row r="32" spans="1:20" ht="14.25" customHeight="1" x14ac:dyDescent="0.35">
      <c r="A32" s="60" t="s">
        <v>133</v>
      </c>
      <c r="B32" s="51">
        <v>0.12</v>
      </c>
      <c r="C32" s="52">
        <f t="shared" ref="C32:J32" si="19">B32+0.03</f>
        <v>0.15</v>
      </c>
      <c r="D32" s="52">
        <f t="shared" si="19"/>
        <v>0.18</v>
      </c>
      <c r="E32" s="52">
        <f t="shared" si="19"/>
        <v>0.21</v>
      </c>
      <c r="F32" s="52">
        <f t="shared" si="19"/>
        <v>0.24</v>
      </c>
      <c r="G32" s="52">
        <f t="shared" si="19"/>
        <v>0.27</v>
      </c>
      <c r="H32" s="52">
        <f t="shared" si="19"/>
        <v>0.30000000000000004</v>
      </c>
      <c r="I32" s="52">
        <f t="shared" si="19"/>
        <v>0.33000000000000007</v>
      </c>
      <c r="J32" s="52">
        <f t="shared" si="19"/>
        <v>0.3600000000000001</v>
      </c>
      <c r="K32" s="52">
        <f>J32+0.01</f>
        <v>0.37000000000000011</v>
      </c>
      <c r="L32" s="52">
        <v>0.37</v>
      </c>
      <c r="M32" s="52">
        <v>0.37</v>
      </c>
      <c r="N32" s="52">
        <v>0.37</v>
      </c>
      <c r="O32" s="52">
        <v>0.37</v>
      </c>
      <c r="P32" s="52">
        <v>0.37</v>
      </c>
      <c r="Q32" s="52">
        <v>0.37</v>
      </c>
      <c r="R32" s="52">
        <v>0.37</v>
      </c>
      <c r="S32" s="52">
        <v>0.37</v>
      </c>
    </row>
    <row r="33" spans="1:20" ht="14.25" customHeight="1" x14ac:dyDescent="0.35">
      <c r="A33" s="60" t="s">
        <v>135</v>
      </c>
      <c r="B33" s="51">
        <v>0.06</v>
      </c>
      <c r="C33" s="52">
        <f t="shared" ref="C33:S33" si="20">1-C31-C32-C34</f>
        <v>7.5000000000000011E-2</v>
      </c>
      <c r="D33" s="52">
        <f t="shared" si="20"/>
        <v>9.0000000000000052E-2</v>
      </c>
      <c r="E33" s="52">
        <f t="shared" si="20"/>
        <v>0.10000000000000009</v>
      </c>
      <c r="F33" s="52">
        <f t="shared" si="20"/>
        <v>0.11000000000000014</v>
      </c>
      <c r="G33" s="52">
        <f t="shared" si="20"/>
        <v>0.12000000000000016</v>
      </c>
      <c r="H33" s="52">
        <f t="shared" si="20"/>
        <v>0.13000000000000017</v>
      </c>
      <c r="I33" s="52">
        <f t="shared" si="20"/>
        <v>0.14000000000000007</v>
      </c>
      <c r="J33" s="52">
        <f t="shared" si="20"/>
        <v>0.15</v>
      </c>
      <c r="K33" s="52">
        <f t="shared" si="20"/>
        <v>0.18000000000000005</v>
      </c>
      <c r="L33" s="52">
        <f t="shared" si="20"/>
        <v>0.2200000000000002</v>
      </c>
      <c r="M33" s="52">
        <f t="shared" si="20"/>
        <v>0.26000000000000012</v>
      </c>
      <c r="N33" s="52">
        <f t="shared" si="20"/>
        <v>0.30000000000000004</v>
      </c>
      <c r="O33" s="52">
        <f t="shared" si="20"/>
        <v>0.34000000000000008</v>
      </c>
      <c r="P33" s="52">
        <f t="shared" si="20"/>
        <v>0.38</v>
      </c>
      <c r="Q33" s="52">
        <f t="shared" si="20"/>
        <v>0.37</v>
      </c>
      <c r="R33" s="52">
        <f t="shared" si="20"/>
        <v>0.36</v>
      </c>
      <c r="S33" s="52">
        <f t="shared" si="20"/>
        <v>0.35</v>
      </c>
    </row>
    <row r="34" spans="1:20" ht="14.25" customHeight="1" x14ac:dyDescent="0.35">
      <c r="A34" s="60" t="s">
        <v>137</v>
      </c>
      <c r="B34" s="51">
        <v>0.02</v>
      </c>
      <c r="C34" s="52">
        <f>B34+0.005</f>
        <v>2.5000000000000001E-2</v>
      </c>
      <c r="D34" s="52">
        <f>C34+0.005</f>
        <v>3.0000000000000002E-2</v>
      </c>
      <c r="E34" s="52">
        <f t="shared" ref="E34:S34" si="21">D34+0.01</f>
        <v>0.04</v>
      </c>
      <c r="F34" s="52">
        <f t="shared" si="21"/>
        <v>0.05</v>
      </c>
      <c r="G34" s="52">
        <f t="shared" si="21"/>
        <v>6.0000000000000005E-2</v>
      </c>
      <c r="H34" s="52">
        <f t="shared" si="21"/>
        <v>7.0000000000000007E-2</v>
      </c>
      <c r="I34" s="52">
        <f t="shared" si="21"/>
        <v>0.08</v>
      </c>
      <c r="J34" s="52">
        <f t="shared" si="21"/>
        <v>0.09</v>
      </c>
      <c r="K34" s="52">
        <f t="shared" si="21"/>
        <v>9.9999999999999992E-2</v>
      </c>
      <c r="L34" s="52">
        <f t="shared" si="21"/>
        <v>0.10999999999999999</v>
      </c>
      <c r="M34" s="52">
        <f t="shared" si="21"/>
        <v>0.11999999999999998</v>
      </c>
      <c r="N34" s="52">
        <f t="shared" si="21"/>
        <v>0.12999999999999998</v>
      </c>
      <c r="O34" s="52">
        <f t="shared" si="21"/>
        <v>0.13999999999999999</v>
      </c>
      <c r="P34" s="52">
        <f t="shared" si="21"/>
        <v>0.15</v>
      </c>
      <c r="Q34" s="52">
        <f t="shared" si="21"/>
        <v>0.16</v>
      </c>
      <c r="R34" s="52">
        <f t="shared" si="21"/>
        <v>0.17</v>
      </c>
      <c r="S34" s="52">
        <f t="shared" si="21"/>
        <v>0.18000000000000002</v>
      </c>
    </row>
    <row r="35" spans="1:20" ht="14.25" customHeight="1" x14ac:dyDescent="0.35">
      <c r="A35" s="60" t="s">
        <v>141</v>
      </c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</row>
    <row r="37" spans="1:20" s="47" customFormat="1" ht="14.25" customHeight="1" x14ac:dyDescent="0.35">
      <c r="A37" s="64" t="s">
        <v>142</v>
      </c>
      <c r="B37" s="48">
        <f t="shared" ref="B37:S37" si="22">B38*365</f>
        <v>31025</v>
      </c>
      <c r="C37" s="48">
        <f t="shared" si="22"/>
        <v>136308.33749999999</v>
      </c>
      <c r="D37" s="48">
        <f t="shared" si="22"/>
        <v>224863.32076249999</v>
      </c>
      <c r="E37" s="48">
        <f t="shared" si="22"/>
        <v>408801.51714622497</v>
      </c>
      <c r="F37" s="48">
        <f t="shared" si="22"/>
        <v>656035.59023810306</v>
      </c>
      <c r="G37" s="48">
        <f t="shared" si="22"/>
        <v>978834.92043480603</v>
      </c>
      <c r="H37" s="48">
        <f t="shared" si="22"/>
        <v>1368862.9887311363</v>
      </c>
      <c r="I37" s="48">
        <f t="shared" si="22"/>
        <v>1801925.609599377</v>
      </c>
      <c r="J37" s="48">
        <f t="shared" si="22"/>
        <v>2237461.629001956</v>
      </c>
      <c r="K37" s="48">
        <f t="shared" si="22"/>
        <v>2697530.8443801058</v>
      </c>
      <c r="L37" s="48">
        <f t="shared" si="22"/>
        <v>3133182.0757474923</v>
      </c>
      <c r="M37" s="48">
        <f t="shared" si="22"/>
        <v>3611673.4688371918</v>
      </c>
      <c r="N37" s="48">
        <f t="shared" si="22"/>
        <v>4136594.0907979892</v>
      </c>
      <c r="O37" s="48">
        <f t="shared" si="22"/>
        <v>4711810.4802017324</v>
      </c>
      <c r="P37" s="48">
        <f t="shared" si="22"/>
        <v>5031336.2212487916</v>
      </c>
      <c r="Q37" s="48">
        <f t="shared" si="22"/>
        <v>5372278.1726523871</v>
      </c>
      <c r="R37" s="48">
        <f t="shared" si="22"/>
        <v>5736058.1517719934</v>
      </c>
      <c r="S37" s="48">
        <f t="shared" si="22"/>
        <v>6124191.6271836208</v>
      </c>
      <c r="T37" s="53"/>
    </row>
    <row r="38" spans="1:20" ht="14.25" customHeight="1" x14ac:dyDescent="0.35">
      <c r="A38" s="64" t="s">
        <v>143</v>
      </c>
      <c r="B38" s="62">
        <v>85</v>
      </c>
      <c r="C38" s="65">
        <f t="shared" ref="C38:S38" si="23">C39*C40*0.001*C42</f>
        <v>373.44749999999999</v>
      </c>
      <c r="D38" s="65">
        <f t="shared" si="23"/>
        <v>616.06389249999995</v>
      </c>
      <c r="E38" s="65">
        <f t="shared" si="23"/>
        <v>1120.0041565649999</v>
      </c>
      <c r="F38" s="65">
        <f t="shared" si="23"/>
        <v>1797.3577814742548</v>
      </c>
      <c r="G38" s="65">
        <f t="shared" si="23"/>
        <v>2681.7395080405645</v>
      </c>
      <c r="H38" s="65">
        <f t="shared" si="23"/>
        <v>3750.3095581674966</v>
      </c>
      <c r="I38" s="65">
        <f t="shared" si="23"/>
        <v>4936.7824920530875</v>
      </c>
      <c r="J38" s="65">
        <f t="shared" si="23"/>
        <v>6130.0318602793313</v>
      </c>
      <c r="K38" s="65">
        <f t="shared" si="23"/>
        <v>7390.4954640550841</v>
      </c>
      <c r="L38" s="65">
        <f t="shared" si="23"/>
        <v>8584.0604814999788</v>
      </c>
      <c r="M38" s="65">
        <f t="shared" si="23"/>
        <v>9894.9958050334026</v>
      </c>
      <c r="N38" s="65">
        <f t="shared" si="23"/>
        <v>11333.134495336957</v>
      </c>
      <c r="O38" s="65">
        <f t="shared" si="23"/>
        <v>12909.069808771868</v>
      </c>
      <c r="P38" s="65">
        <f t="shared" si="23"/>
        <v>13784.482797941895</v>
      </c>
      <c r="Q38" s="65">
        <f t="shared" si="23"/>
        <v>14718.570336033938</v>
      </c>
      <c r="R38" s="65">
        <f t="shared" si="23"/>
        <v>15715.227813073954</v>
      </c>
      <c r="S38" s="65">
        <f t="shared" si="23"/>
        <v>16778.607197763344</v>
      </c>
      <c r="T38" s="53">
        <f>(M38/B38)^0.1-1</f>
        <v>0.60916163176485472</v>
      </c>
    </row>
    <row r="39" spans="1:20" ht="14.25" customHeight="1" x14ac:dyDescent="0.35">
      <c r="A39" s="66" t="s">
        <v>144</v>
      </c>
      <c r="B39">
        <v>1250</v>
      </c>
      <c r="C39" s="67">
        <f t="shared" ref="C39:S39" si="24">B39*1.01</f>
        <v>1262.5</v>
      </c>
      <c r="D39" s="67">
        <f t="shared" si="24"/>
        <v>1275.125</v>
      </c>
      <c r="E39" s="67">
        <f t="shared" si="24"/>
        <v>1287.87625</v>
      </c>
      <c r="F39" s="67">
        <f t="shared" si="24"/>
        <v>1300.7550125</v>
      </c>
      <c r="G39" s="67">
        <f t="shared" si="24"/>
        <v>1313.7625626250001</v>
      </c>
      <c r="H39" s="67">
        <f t="shared" si="24"/>
        <v>1326.90018825125</v>
      </c>
      <c r="I39" s="67">
        <f t="shared" si="24"/>
        <v>1340.1691901337626</v>
      </c>
      <c r="J39" s="67">
        <f t="shared" si="24"/>
        <v>1353.5708820351003</v>
      </c>
      <c r="K39" s="67">
        <f t="shared" si="24"/>
        <v>1367.1065908554513</v>
      </c>
      <c r="L39" s="67">
        <f t="shared" si="24"/>
        <v>1380.7776567640058</v>
      </c>
      <c r="M39" s="67">
        <f t="shared" si="24"/>
        <v>1394.5854333316458</v>
      </c>
      <c r="N39" s="67">
        <f t="shared" si="24"/>
        <v>1408.5312876649623</v>
      </c>
      <c r="O39" s="67">
        <f t="shared" si="24"/>
        <v>1422.6166005416119</v>
      </c>
      <c r="P39" s="67">
        <f t="shared" si="24"/>
        <v>1436.8427665470281</v>
      </c>
      <c r="Q39" s="67">
        <f t="shared" si="24"/>
        <v>1451.2111942124984</v>
      </c>
      <c r="R39" s="67">
        <f t="shared" si="24"/>
        <v>1465.7233061546235</v>
      </c>
      <c r="S39" s="67">
        <f t="shared" si="24"/>
        <v>1480.3805392161698</v>
      </c>
    </row>
    <row r="40" spans="1:20" ht="14.25" customHeight="1" x14ac:dyDescent="0.35">
      <c r="A40" s="57" t="s">
        <v>145</v>
      </c>
      <c r="B40" s="68">
        <f>B38/(B39/1000)</f>
        <v>68</v>
      </c>
      <c r="C40" s="68">
        <f t="shared" ref="C40:S40" si="25">B40*(1+C41)</f>
        <v>98.6</v>
      </c>
      <c r="D40" s="68">
        <f t="shared" si="25"/>
        <v>138.04</v>
      </c>
      <c r="E40" s="68">
        <f t="shared" si="25"/>
        <v>193.25599999999997</v>
      </c>
      <c r="F40" s="68">
        <f t="shared" si="25"/>
        <v>251.23279999999997</v>
      </c>
      <c r="G40" s="68">
        <f t="shared" si="25"/>
        <v>314.04099999999994</v>
      </c>
      <c r="H40" s="68">
        <f t="shared" si="25"/>
        <v>376.84919999999994</v>
      </c>
      <c r="I40" s="68">
        <f t="shared" si="25"/>
        <v>433.37657999999988</v>
      </c>
      <c r="J40" s="68">
        <f t="shared" si="25"/>
        <v>476.71423799999991</v>
      </c>
      <c r="K40" s="68">
        <f t="shared" si="25"/>
        <v>514.85137703999999</v>
      </c>
      <c r="L40" s="68">
        <f t="shared" si="25"/>
        <v>540.59394589199997</v>
      </c>
      <c r="M40" s="68">
        <f t="shared" si="25"/>
        <v>567.62364318660002</v>
      </c>
      <c r="N40" s="68">
        <f t="shared" si="25"/>
        <v>596.00482534593004</v>
      </c>
      <c r="O40" s="68">
        <f t="shared" si="25"/>
        <v>625.80506661322659</v>
      </c>
      <c r="P40" s="68">
        <f t="shared" si="25"/>
        <v>657.09531994388794</v>
      </c>
      <c r="Q40" s="68">
        <f t="shared" si="25"/>
        <v>689.95008594108242</v>
      </c>
      <c r="R40" s="68">
        <f t="shared" si="25"/>
        <v>724.44759023813663</v>
      </c>
      <c r="S40" s="68">
        <f t="shared" si="25"/>
        <v>760.66996975004349</v>
      </c>
    </row>
    <row r="41" spans="1:20" ht="14.25" customHeight="1" x14ac:dyDescent="0.35">
      <c r="A41" s="60" t="s">
        <v>146</v>
      </c>
      <c r="B41" s="68"/>
      <c r="C41" s="52">
        <v>0.45</v>
      </c>
      <c r="D41" s="52">
        <v>0.4</v>
      </c>
      <c r="E41" s="52">
        <v>0.4</v>
      </c>
      <c r="F41" s="52">
        <v>0.3</v>
      </c>
      <c r="G41" s="52">
        <v>0.25</v>
      </c>
      <c r="H41" s="52">
        <v>0.2</v>
      </c>
      <c r="I41" s="52">
        <v>0.15</v>
      </c>
      <c r="J41" s="52">
        <v>0.1</v>
      </c>
      <c r="K41" s="52">
        <v>0.08</v>
      </c>
      <c r="L41" s="52">
        <v>0.05</v>
      </c>
      <c r="M41" s="52">
        <v>0.05</v>
      </c>
      <c r="N41" s="52">
        <v>0.05</v>
      </c>
      <c r="O41" s="52">
        <v>0.05</v>
      </c>
      <c r="P41" s="52">
        <v>0.05</v>
      </c>
      <c r="Q41" s="52">
        <v>0.05</v>
      </c>
      <c r="R41" s="52">
        <v>0.05</v>
      </c>
      <c r="S41" s="52">
        <v>0.05</v>
      </c>
    </row>
    <row r="42" spans="1:20" ht="14.25" customHeight="1" x14ac:dyDescent="0.35">
      <c r="A42" s="60" t="s">
        <v>12</v>
      </c>
      <c r="B42" s="63">
        <v>2.5</v>
      </c>
      <c r="C42" s="63">
        <f>B42+0.5</f>
        <v>3</v>
      </c>
      <c r="D42" s="63">
        <f>C42+0.5</f>
        <v>3.5</v>
      </c>
      <c r="E42" s="63">
        <f t="shared" ref="E42:O42" si="26">D42+1</f>
        <v>4.5</v>
      </c>
      <c r="F42" s="63">
        <f t="shared" si="26"/>
        <v>5.5</v>
      </c>
      <c r="G42" s="63">
        <f t="shared" si="26"/>
        <v>6.5</v>
      </c>
      <c r="H42" s="63">
        <f t="shared" si="26"/>
        <v>7.5</v>
      </c>
      <c r="I42" s="63">
        <f t="shared" si="26"/>
        <v>8.5</v>
      </c>
      <c r="J42" s="63">
        <f t="shared" si="26"/>
        <v>9.5</v>
      </c>
      <c r="K42" s="63">
        <f t="shared" si="26"/>
        <v>10.5</v>
      </c>
      <c r="L42" s="63">
        <f t="shared" si="26"/>
        <v>11.5</v>
      </c>
      <c r="M42" s="63">
        <f t="shared" si="26"/>
        <v>12.5</v>
      </c>
      <c r="N42" s="63">
        <f t="shared" si="26"/>
        <v>13.5</v>
      </c>
      <c r="O42" s="63">
        <f t="shared" si="26"/>
        <v>14.5</v>
      </c>
      <c r="P42" s="63">
        <f>O42+0.1</f>
        <v>14.6</v>
      </c>
      <c r="Q42" s="63">
        <f>P42+0.1</f>
        <v>14.7</v>
      </c>
      <c r="R42" s="63">
        <f>Q42+0.1</f>
        <v>14.799999999999999</v>
      </c>
      <c r="S42" s="63">
        <f>R42+0.1</f>
        <v>14.899999999999999</v>
      </c>
      <c r="T42" s="69" t="s">
        <v>147</v>
      </c>
    </row>
    <row r="43" spans="1:20" ht="14.25" customHeight="1" x14ac:dyDescent="0.35">
      <c r="A43" s="57"/>
    </row>
    <row r="44" spans="1:20" ht="14.25" customHeight="1" x14ac:dyDescent="0.35">
      <c r="A44" s="57"/>
    </row>
    <row r="45" spans="1:20" s="47" customFormat="1" ht="23.25" customHeight="1" x14ac:dyDescent="0.55000000000000004">
      <c r="A45" s="70" t="s">
        <v>148</v>
      </c>
    </row>
    <row r="46" spans="1:20" ht="14.25" customHeight="1" x14ac:dyDescent="0.35">
      <c r="A46" s="57"/>
    </row>
    <row r="47" spans="1:20" ht="14.25" customHeight="1" x14ac:dyDescent="0.35">
      <c r="A47" s="59" t="s">
        <v>149</v>
      </c>
      <c r="B47" s="51"/>
    </row>
    <row r="48" spans="1:20" ht="14.25" customHeight="1" x14ac:dyDescent="0.35">
      <c r="A48" s="60" t="s">
        <v>150</v>
      </c>
      <c r="B48">
        <v>0.01</v>
      </c>
      <c r="C48">
        <v>0.05</v>
      </c>
      <c r="D48">
        <v>0.15</v>
      </c>
      <c r="E48">
        <v>0.5</v>
      </c>
      <c r="F48">
        <v>1</v>
      </c>
      <c r="G48">
        <v>1.5</v>
      </c>
      <c r="H48" s="58">
        <f t="shared" ref="H48:H54" si="27">AVERAGE(I48,G48)</f>
        <v>2.5499999999999998</v>
      </c>
      <c r="I48">
        <v>3.6</v>
      </c>
      <c r="J48" s="58">
        <f t="shared" ref="J48:J54" si="28">AVERAGE(K48,I48)</f>
        <v>7.6499999999999995</v>
      </c>
      <c r="K48">
        <v>11.7</v>
      </c>
      <c r="L48" s="58">
        <f t="shared" ref="L48:L54" si="29">AVERAGE(M48,K48)</f>
        <v>17.899999999999999</v>
      </c>
      <c r="M48">
        <v>24.1</v>
      </c>
      <c r="N48" s="58">
        <f t="shared" ref="N48:N54" si="30">AVERAGE(O48,M48)</f>
        <v>31.650000000000002</v>
      </c>
      <c r="O48">
        <v>39.200000000000003</v>
      </c>
      <c r="P48" s="58">
        <f t="shared" ref="P48:P54" si="31">AVERAGE(Q48,O48)</f>
        <v>49.150000000000006</v>
      </c>
      <c r="Q48">
        <v>59.1</v>
      </c>
      <c r="R48" s="58">
        <f t="shared" ref="R48:R54" si="32">AVERAGE(S48,Q48)</f>
        <v>66.150000000000006</v>
      </c>
      <c r="S48">
        <v>73.2</v>
      </c>
    </row>
    <row r="49" spans="1:23" ht="14.25" customHeight="1" x14ac:dyDescent="0.35">
      <c r="A49" s="60" t="s">
        <v>151</v>
      </c>
      <c r="B49">
        <v>13.8</v>
      </c>
      <c r="C49">
        <v>15.5</v>
      </c>
      <c r="D49">
        <v>24.8</v>
      </c>
      <c r="E49">
        <v>26.5</v>
      </c>
      <c r="F49">
        <v>38.200000000000003</v>
      </c>
      <c r="G49">
        <v>41.8</v>
      </c>
      <c r="H49" s="58">
        <f t="shared" si="27"/>
        <v>46.55</v>
      </c>
      <c r="I49">
        <v>51.3</v>
      </c>
      <c r="J49" s="58">
        <f t="shared" si="28"/>
        <v>56.25</v>
      </c>
      <c r="K49">
        <v>61.2</v>
      </c>
      <c r="L49" s="58">
        <f t="shared" si="29"/>
        <v>81.050000000000011</v>
      </c>
      <c r="M49">
        <v>100.9</v>
      </c>
      <c r="N49" s="58">
        <f t="shared" si="30"/>
        <v>118.65</v>
      </c>
      <c r="O49">
        <v>136.4</v>
      </c>
      <c r="P49" s="58">
        <f t="shared" si="31"/>
        <v>170.55</v>
      </c>
      <c r="Q49">
        <v>204.7</v>
      </c>
      <c r="R49" s="58">
        <f t="shared" si="32"/>
        <v>248.2</v>
      </c>
      <c r="S49">
        <v>291.7</v>
      </c>
    </row>
    <row r="50" spans="1:23" ht="14.25" customHeight="1" x14ac:dyDescent="0.35">
      <c r="A50" s="71" t="s">
        <v>152</v>
      </c>
      <c r="B50" s="72">
        <v>0.02</v>
      </c>
      <c r="C50" s="72">
        <v>0.03</v>
      </c>
      <c r="D50" s="72">
        <v>0.06</v>
      </c>
      <c r="E50" s="72">
        <v>0.15</v>
      </c>
      <c r="F50" s="72">
        <v>0.32</v>
      </c>
      <c r="G50" s="72">
        <v>0.4</v>
      </c>
      <c r="H50" s="72">
        <f t="shared" si="27"/>
        <v>0.95</v>
      </c>
      <c r="I50" s="72">
        <v>1.5</v>
      </c>
      <c r="J50" s="72">
        <f t="shared" si="28"/>
        <v>2.5</v>
      </c>
      <c r="K50" s="72">
        <v>3.5</v>
      </c>
      <c r="L50" s="72">
        <f t="shared" si="29"/>
        <v>6.65</v>
      </c>
      <c r="M50" s="72">
        <v>9.8000000000000007</v>
      </c>
      <c r="N50" s="72">
        <f t="shared" si="30"/>
        <v>16.649999999999999</v>
      </c>
      <c r="O50" s="72">
        <v>23.5</v>
      </c>
      <c r="P50" s="72">
        <f t="shared" si="31"/>
        <v>35.450000000000003</v>
      </c>
      <c r="Q50" s="72">
        <v>47.4</v>
      </c>
      <c r="R50" s="72">
        <f t="shared" si="32"/>
        <v>63.099999999999994</v>
      </c>
      <c r="S50" s="72">
        <v>78.8</v>
      </c>
    </row>
    <row r="51" spans="1:23" ht="14.25" customHeight="1" x14ac:dyDescent="0.35">
      <c r="A51" s="60" t="s">
        <v>153</v>
      </c>
      <c r="B51" s="58">
        <v>0.6</v>
      </c>
      <c r="C51" s="58">
        <v>0.7</v>
      </c>
      <c r="D51" s="58">
        <v>0.9</v>
      </c>
      <c r="E51" s="58">
        <v>1</v>
      </c>
      <c r="F51" s="58">
        <v>1.2</v>
      </c>
      <c r="G51" s="58">
        <v>1.5</v>
      </c>
      <c r="H51" s="58">
        <f t="shared" si="27"/>
        <v>1.8</v>
      </c>
      <c r="I51" s="58">
        <v>2.1</v>
      </c>
      <c r="J51" s="58">
        <f t="shared" si="28"/>
        <v>2.5</v>
      </c>
      <c r="K51" s="58">
        <v>2.9</v>
      </c>
      <c r="L51" s="58">
        <f t="shared" si="29"/>
        <v>3.5</v>
      </c>
      <c r="M51" s="58">
        <v>4.0999999999999996</v>
      </c>
      <c r="N51" s="58">
        <f t="shared" si="30"/>
        <v>4.8499999999999996</v>
      </c>
      <c r="O51" s="58">
        <v>5.6</v>
      </c>
      <c r="P51" s="58">
        <f t="shared" si="31"/>
        <v>6.6999999999999993</v>
      </c>
      <c r="Q51" s="58">
        <v>7.8</v>
      </c>
      <c r="R51" s="58">
        <f t="shared" si="32"/>
        <v>9.4</v>
      </c>
      <c r="S51" s="58">
        <v>11</v>
      </c>
    </row>
    <row r="52" spans="1:23" ht="14.25" customHeight="1" x14ac:dyDescent="0.35">
      <c r="A52" s="60" t="s">
        <v>154</v>
      </c>
      <c r="B52" s="58">
        <v>0</v>
      </c>
      <c r="C52" s="58">
        <v>0</v>
      </c>
      <c r="D52" s="58">
        <v>0</v>
      </c>
      <c r="E52" s="58">
        <v>0.01</v>
      </c>
      <c r="F52" s="58">
        <v>0.01</v>
      </c>
      <c r="G52" s="58">
        <v>0.02</v>
      </c>
      <c r="H52" s="58">
        <f t="shared" si="27"/>
        <v>0.03</v>
      </c>
      <c r="I52" s="58">
        <v>0.04</v>
      </c>
      <c r="J52" s="58">
        <f t="shared" si="28"/>
        <v>7.0000000000000007E-2</v>
      </c>
      <c r="K52" s="58">
        <v>0.1</v>
      </c>
      <c r="L52" s="58">
        <f t="shared" si="29"/>
        <v>0.16999999999999998</v>
      </c>
      <c r="M52" s="58">
        <v>0.24</v>
      </c>
      <c r="N52" s="58">
        <f t="shared" si="30"/>
        <v>0.35499999999999998</v>
      </c>
      <c r="O52" s="58">
        <v>0.47</v>
      </c>
      <c r="P52" s="58">
        <f t="shared" si="31"/>
        <v>0.65500000000000003</v>
      </c>
      <c r="Q52" s="58">
        <v>0.84</v>
      </c>
      <c r="R52" s="58">
        <f t="shared" si="32"/>
        <v>1.115</v>
      </c>
      <c r="S52" s="58">
        <v>1.39</v>
      </c>
    </row>
    <row r="53" spans="1:23" ht="14.25" customHeight="1" x14ac:dyDescent="0.35">
      <c r="A53" s="60" t="s">
        <v>155</v>
      </c>
      <c r="B53" s="58">
        <v>1.1000000000000001</v>
      </c>
      <c r="C53" s="58">
        <v>1.5</v>
      </c>
      <c r="D53" s="58">
        <v>2</v>
      </c>
      <c r="E53" s="58">
        <v>2.7</v>
      </c>
      <c r="F53" s="58">
        <v>3.6</v>
      </c>
      <c r="G53" s="58">
        <v>4.8</v>
      </c>
      <c r="H53" s="58">
        <f t="shared" si="27"/>
        <v>6.65</v>
      </c>
      <c r="I53" s="58">
        <v>8.5</v>
      </c>
      <c r="J53" s="58">
        <f t="shared" si="28"/>
        <v>11.55</v>
      </c>
      <c r="K53" s="58">
        <v>14.6</v>
      </c>
      <c r="L53" s="58">
        <f t="shared" si="29"/>
        <v>18.95</v>
      </c>
      <c r="M53" s="58">
        <v>23.3</v>
      </c>
      <c r="N53" s="58">
        <f t="shared" si="30"/>
        <v>29.15</v>
      </c>
      <c r="O53" s="58">
        <v>35</v>
      </c>
      <c r="P53" s="58">
        <f t="shared" si="31"/>
        <v>43</v>
      </c>
      <c r="Q53" s="58">
        <v>51</v>
      </c>
      <c r="R53" s="58">
        <f t="shared" si="32"/>
        <v>61.2</v>
      </c>
      <c r="S53" s="58">
        <v>71.400000000000006</v>
      </c>
    </row>
    <row r="54" spans="1:23" ht="14.25" customHeight="1" x14ac:dyDescent="0.35">
      <c r="A54" s="60" t="s">
        <v>156</v>
      </c>
      <c r="B54" s="58">
        <v>8</v>
      </c>
      <c r="C54" s="58">
        <v>11.2</v>
      </c>
      <c r="D54" s="58">
        <v>17.7</v>
      </c>
      <c r="E54" s="58">
        <v>27.3</v>
      </c>
      <c r="F54" s="58">
        <v>36.5</v>
      </c>
      <c r="G54" s="58">
        <v>43.2</v>
      </c>
      <c r="H54" s="58">
        <f t="shared" si="27"/>
        <v>60.300000000000004</v>
      </c>
      <c r="I54" s="58">
        <v>77.400000000000006</v>
      </c>
      <c r="J54" s="58">
        <f t="shared" si="28"/>
        <v>90.300000000000011</v>
      </c>
      <c r="K54" s="58">
        <v>103.2</v>
      </c>
      <c r="L54" s="58">
        <f t="shared" si="29"/>
        <v>123.05000000000001</v>
      </c>
      <c r="M54" s="58">
        <v>142.9</v>
      </c>
      <c r="N54" s="58">
        <f t="shared" si="30"/>
        <v>164.45</v>
      </c>
      <c r="O54" s="58">
        <v>186</v>
      </c>
      <c r="P54" s="58">
        <f t="shared" si="31"/>
        <v>210.3</v>
      </c>
      <c r="Q54" s="58">
        <v>234.6</v>
      </c>
      <c r="R54" s="58">
        <f t="shared" si="32"/>
        <v>251.95</v>
      </c>
      <c r="S54" s="58">
        <v>269.3</v>
      </c>
    </row>
    <row r="55" spans="1:23" ht="14.25" customHeight="1" x14ac:dyDescent="0.35">
      <c r="A55" s="73" t="s">
        <v>157</v>
      </c>
      <c r="B55" s="62">
        <f t="shared" ref="B55:S55" si="33">SUM(B48:B54)</f>
        <v>23.53</v>
      </c>
      <c r="C55" s="62">
        <f t="shared" si="33"/>
        <v>28.98</v>
      </c>
      <c r="D55" s="62">
        <f t="shared" si="33"/>
        <v>45.61</v>
      </c>
      <c r="E55" s="62">
        <f t="shared" si="33"/>
        <v>58.16</v>
      </c>
      <c r="F55" s="62">
        <f t="shared" si="33"/>
        <v>80.830000000000013</v>
      </c>
      <c r="G55" s="62">
        <f t="shared" si="33"/>
        <v>93.22</v>
      </c>
      <c r="H55" s="62">
        <f t="shared" si="33"/>
        <v>118.83</v>
      </c>
      <c r="I55" s="62">
        <f t="shared" si="33"/>
        <v>144.44</v>
      </c>
      <c r="J55" s="62">
        <f t="shared" si="33"/>
        <v>170.82</v>
      </c>
      <c r="K55" s="62">
        <f t="shared" si="33"/>
        <v>197.2</v>
      </c>
      <c r="L55" s="62">
        <f t="shared" si="33"/>
        <v>251.27000000000004</v>
      </c>
      <c r="M55" s="62">
        <f t="shared" si="33"/>
        <v>305.34000000000003</v>
      </c>
      <c r="N55" s="62">
        <f t="shared" si="33"/>
        <v>365.755</v>
      </c>
      <c r="O55" s="62">
        <f t="shared" si="33"/>
        <v>426.17</v>
      </c>
      <c r="P55" s="62">
        <f t="shared" si="33"/>
        <v>515.80500000000006</v>
      </c>
      <c r="Q55" s="62">
        <f t="shared" si="33"/>
        <v>605.43999999999994</v>
      </c>
      <c r="R55" s="62">
        <f t="shared" si="33"/>
        <v>701.11500000000001</v>
      </c>
      <c r="S55" s="62">
        <f t="shared" si="33"/>
        <v>796.79</v>
      </c>
    </row>
    <row r="58" spans="1:23" ht="14.25" customHeight="1" x14ac:dyDescent="0.35">
      <c r="A58" s="59" t="s">
        <v>158</v>
      </c>
      <c r="B58" s="62">
        <f t="shared" ref="B58:S58" si="34">SUMPRODUCT(B48:B54, B59:B65) * 0.000001</f>
        <v>0.36219999999999997</v>
      </c>
      <c r="C58" s="62">
        <f t="shared" si="34"/>
        <v>0.57464999999999999</v>
      </c>
      <c r="D58" s="62">
        <f t="shared" si="34"/>
        <v>0.99058600000000008</v>
      </c>
      <c r="E58" s="62">
        <f t="shared" si="34"/>
        <v>1.8427155600000003</v>
      </c>
      <c r="F58" s="62">
        <f t="shared" si="34"/>
        <v>3.2722687048000001</v>
      </c>
      <c r="G58" s="62">
        <f t="shared" si="34"/>
        <v>4.8309945287680005</v>
      </c>
      <c r="H58" s="62">
        <f t="shared" si="34"/>
        <v>9.3193790294441605</v>
      </c>
      <c r="I58" s="62">
        <f t="shared" si="34"/>
        <v>15.068007650695595</v>
      </c>
      <c r="J58" s="62">
        <f t="shared" si="34"/>
        <v>25.249636081089882</v>
      </c>
      <c r="K58" s="62">
        <f t="shared" si="34"/>
        <v>37.950108033302442</v>
      </c>
      <c r="L58" s="62">
        <f t="shared" si="34"/>
        <v>67.278751745374436</v>
      </c>
      <c r="M58" s="62">
        <f t="shared" si="34"/>
        <v>103.47281130363126</v>
      </c>
      <c r="N58" s="62">
        <f t="shared" si="34"/>
        <v>173.46365339919205</v>
      </c>
      <c r="O58" s="62">
        <f t="shared" si="34"/>
        <v>259.34412551502766</v>
      </c>
      <c r="P58" s="62">
        <f t="shared" si="34"/>
        <v>407.3427489006408</v>
      </c>
      <c r="Q58" s="62">
        <f t="shared" si="34"/>
        <v>588.24675169286741</v>
      </c>
      <c r="R58" s="62">
        <f t="shared" si="34"/>
        <v>840.4426816755755</v>
      </c>
      <c r="S58" s="62">
        <f t="shared" si="34"/>
        <v>1146.5665906843305</v>
      </c>
    </row>
    <row r="59" spans="1:23" ht="14.25" customHeight="1" x14ac:dyDescent="0.35">
      <c r="A59" s="60" t="s">
        <v>150</v>
      </c>
      <c r="B59" s="49">
        <v>30000</v>
      </c>
      <c r="C59" s="49">
        <f t="shared" ref="C59:L59" si="35">B59+25000</f>
        <v>55000</v>
      </c>
      <c r="D59" s="49">
        <f t="shared" si="35"/>
        <v>80000</v>
      </c>
      <c r="E59" s="49">
        <f t="shared" si="35"/>
        <v>105000</v>
      </c>
      <c r="F59" s="49">
        <f t="shared" si="35"/>
        <v>130000</v>
      </c>
      <c r="G59" s="49">
        <f t="shared" si="35"/>
        <v>155000</v>
      </c>
      <c r="H59" s="49">
        <f t="shared" si="35"/>
        <v>180000</v>
      </c>
      <c r="I59" s="49">
        <f t="shared" si="35"/>
        <v>205000</v>
      </c>
      <c r="J59" s="49">
        <f t="shared" si="35"/>
        <v>230000</v>
      </c>
      <c r="K59" s="49">
        <f t="shared" si="35"/>
        <v>255000</v>
      </c>
      <c r="L59" s="49">
        <f t="shared" si="35"/>
        <v>280000</v>
      </c>
      <c r="M59" s="49">
        <v>300000</v>
      </c>
      <c r="N59" s="49">
        <f t="shared" ref="N59:S59" si="36">M59+25000</f>
        <v>325000</v>
      </c>
      <c r="O59" s="49">
        <f t="shared" si="36"/>
        <v>350000</v>
      </c>
      <c r="P59" s="49">
        <f t="shared" si="36"/>
        <v>375000</v>
      </c>
      <c r="Q59" s="49">
        <f t="shared" si="36"/>
        <v>400000</v>
      </c>
      <c r="R59" s="49">
        <f t="shared" si="36"/>
        <v>425000</v>
      </c>
      <c r="S59" s="49">
        <f t="shared" si="36"/>
        <v>450000</v>
      </c>
      <c r="T59" t="s">
        <v>159</v>
      </c>
    </row>
    <row r="60" spans="1:23" ht="14.25" customHeight="1" x14ac:dyDescent="0.35">
      <c r="A60" s="60" t="s">
        <v>151</v>
      </c>
      <c r="B60" s="49">
        <v>500</v>
      </c>
      <c r="C60" s="49">
        <f t="shared" ref="C60:S60" si="37">B60*1.2</f>
        <v>600</v>
      </c>
      <c r="D60" s="49">
        <f t="shared" si="37"/>
        <v>720</v>
      </c>
      <c r="E60" s="49">
        <f t="shared" si="37"/>
        <v>864</v>
      </c>
      <c r="F60" s="49">
        <f t="shared" si="37"/>
        <v>1036.8</v>
      </c>
      <c r="G60" s="49">
        <f t="shared" si="37"/>
        <v>1244.1599999999999</v>
      </c>
      <c r="H60" s="49">
        <f t="shared" si="37"/>
        <v>1492.9919999999997</v>
      </c>
      <c r="I60" s="49">
        <f t="shared" si="37"/>
        <v>1791.5903999999996</v>
      </c>
      <c r="J60" s="49">
        <f t="shared" si="37"/>
        <v>2149.9084799999996</v>
      </c>
      <c r="K60" s="49">
        <f t="shared" si="37"/>
        <v>2579.8901759999994</v>
      </c>
      <c r="L60" s="49">
        <f t="shared" si="37"/>
        <v>3095.8682111999992</v>
      </c>
      <c r="M60" s="49">
        <f t="shared" si="37"/>
        <v>3715.0418534399987</v>
      </c>
      <c r="N60" s="49">
        <f t="shared" si="37"/>
        <v>4458.0502241279983</v>
      </c>
      <c r="O60" s="49">
        <f t="shared" si="37"/>
        <v>5349.6602689535976</v>
      </c>
      <c r="P60" s="49">
        <f t="shared" si="37"/>
        <v>6419.5923227443172</v>
      </c>
      <c r="Q60" s="49">
        <f t="shared" si="37"/>
        <v>7703.5107872931803</v>
      </c>
      <c r="R60" s="49">
        <f t="shared" si="37"/>
        <v>9244.2129447518164</v>
      </c>
      <c r="S60" s="49">
        <f t="shared" si="37"/>
        <v>11093.05553370218</v>
      </c>
      <c r="T60" t="s">
        <v>160</v>
      </c>
      <c r="W60" t="s">
        <v>161</v>
      </c>
    </row>
    <row r="61" spans="1:23" ht="14.25" customHeight="1" x14ac:dyDescent="0.35">
      <c r="A61" s="60" t="s">
        <v>152</v>
      </c>
      <c r="B61" s="49">
        <v>2000000</v>
      </c>
      <c r="C61" s="49">
        <f t="shared" ref="C61:S61" si="38">B61*1.1</f>
        <v>2200000</v>
      </c>
      <c r="D61" s="49">
        <f t="shared" si="38"/>
        <v>2420000</v>
      </c>
      <c r="E61" s="49">
        <f t="shared" si="38"/>
        <v>2662000</v>
      </c>
      <c r="F61" s="49">
        <f t="shared" si="38"/>
        <v>2928200.0000000005</v>
      </c>
      <c r="G61" s="49">
        <f t="shared" si="38"/>
        <v>3221020.0000000009</v>
      </c>
      <c r="H61" s="49">
        <f t="shared" si="38"/>
        <v>3543122.0000000014</v>
      </c>
      <c r="I61" s="49">
        <f t="shared" si="38"/>
        <v>3897434.200000002</v>
      </c>
      <c r="J61" s="49">
        <f t="shared" si="38"/>
        <v>4287177.6200000029</v>
      </c>
      <c r="K61" s="49">
        <f t="shared" si="38"/>
        <v>4715895.3820000039</v>
      </c>
      <c r="L61" s="49">
        <f t="shared" si="38"/>
        <v>5187484.9202000052</v>
      </c>
      <c r="M61" s="49">
        <f t="shared" si="38"/>
        <v>5706233.4122200059</v>
      </c>
      <c r="N61" s="49">
        <f t="shared" si="38"/>
        <v>6276856.7534420071</v>
      </c>
      <c r="O61" s="49">
        <f t="shared" si="38"/>
        <v>6904542.4287862079</v>
      </c>
      <c r="P61" s="49">
        <f t="shared" si="38"/>
        <v>7594996.6716648294</v>
      </c>
      <c r="Q61" s="49">
        <f t="shared" si="38"/>
        <v>8354496.338831313</v>
      </c>
      <c r="R61" s="49">
        <f t="shared" si="38"/>
        <v>9189945.9727144446</v>
      </c>
      <c r="S61" s="49">
        <f t="shared" si="38"/>
        <v>10108940.569985891</v>
      </c>
    </row>
    <row r="62" spans="1:23" ht="14.25" customHeight="1" x14ac:dyDescent="0.35">
      <c r="A62" s="60" t="s">
        <v>153</v>
      </c>
      <c r="B62" s="49">
        <v>25000</v>
      </c>
      <c r="C62" s="49">
        <f t="shared" ref="C62:S62" si="39">B62*1.2</f>
        <v>30000</v>
      </c>
      <c r="D62" s="49">
        <f t="shared" si="39"/>
        <v>36000</v>
      </c>
      <c r="E62" s="49">
        <f t="shared" si="39"/>
        <v>43200</v>
      </c>
      <c r="F62" s="49">
        <f t="shared" si="39"/>
        <v>51840</v>
      </c>
      <c r="G62" s="49">
        <f t="shared" si="39"/>
        <v>62208</v>
      </c>
      <c r="H62" s="49">
        <f t="shared" si="39"/>
        <v>74649.599999999991</v>
      </c>
      <c r="I62" s="49">
        <f t="shared" si="39"/>
        <v>89579.51999999999</v>
      </c>
      <c r="J62" s="49">
        <f t="shared" si="39"/>
        <v>107495.42399999998</v>
      </c>
      <c r="K62" s="49">
        <f t="shared" si="39"/>
        <v>128994.50879999998</v>
      </c>
      <c r="L62" s="49">
        <f t="shared" si="39"/>
        <v>154793.41055999996</v>
      </c>
      <c r="M62" s="49">
        <f t="shared" si="39"/>
        <v>185752.09267199994</v>
      </c>
      <c r="N62" s="49">
        <f t="shared" si="39"/>
        <v>222902.51120639991</v>
      </c>
      <c r="O62" s="49">
        <f t="shared" si="39"/>
        <v>267483.01344767987</v>
      </c>
      <c r="P62" s="49">
        <f t="shared" si="39"/>
        <v>320979.61613721581</v>
      </c>
      <c r="Q62" s="49">
        <f t="shared" si="39"/>
        <v>385175.53936465894</v>
      </c>
      <c r="R62" s="49">
        <f t="shared" si="39"/>
        <v>462210.64723759069</v>
      </c>
      <c r="S62" s="49">
        <f t="shared" si="39"/>
        <v>554652.77668510878</v>
      </c>
    </row>
    <row r="63" spans="1:23" ht="14.25" customHeight="1" x14ac:dyDescent="0.35">
      <c r="A63" s="60" t="s">
        <v>154</v>
      </c>
      <c r="B63" s="49">
        <v>500000</v>
      </c>
      <c r="C63" s="49">
        <f t="shared" ref="C63:S63" si="40">B63*1.08</f>
        <v>540000</v>
      </c>
      <c r="D63" s="49">
        <f t="shared" si="40"/>
        <v>583200</v>
      </c>
      <c r="E63" s="49">
        <f t="shared" si="40"/>
        <v>629856</v>
      </c>
      <c r="F63" s="49">
        <f t="shared" si="40"/>
        <v>680244.4800000001</v>
      </c>
      <c r="G63" s="49">
        <f t="shared" si="40"/>
        <v>734664.03840000019</v>
      </c>
      <c r="H63" s="49">
        <f t="shared" si="40"/>
        <v>793437.1614720003</v>
      </c>
      <c r="I63" s="49">
        <f t="shared" si="40"/>
        <v>856912.13438976032</v>
      </c>
      <c r="J63" s="49">
        <f t="shared" si="40"/>
        <v>925465.10514094122</v>
      </c>
      <c r="K63" s="49">
        <f t="shared" si="40"/>
        <v>999502.31355221663</v>
      </c>
      <c r="L63" s="49">
        <f t="shared" si="40"/>
        <v>1079462.498636394</v>
      </c>
      <c r="M63" s="49">
        <f t="shared" si="40"/>
        <v>1165819.4985273057</v>
      </c>
      <c r="N63" s="49">
        <f t="shared" si="40"/>
        <v>1259085.0584094902</v>
      </c>
      <c r="O63" s="49">
        <f t="shared" si="40"/>
        <v>1359811.8630822494</v>
      </c>
      <c r="P63" s="49">
        <f t="shared" si="40"/>
        <v>1468596.8121288295</v>
      </c>
      <c r="Q63" s="49">
        <f t="shared" si="40"/>
        <v>1586084.5570991361</v>
      </c>
      <c r="R63" s="49">
        <f t="shared" si="40"/>
        <v>1712971.321667067</v>
      </c>
      <c r="S63" s="49">
        <f t="shared" si="40"/>
        <v>1850009.0274004324</v>
      </c>
    </row>
    <row r="64" spans="1:23" ht="14.25" customHeight="1" x14ac:dyDescent="0.35">
      <c r="A64" s="60" t="s">
        <v>155</v>
      </c>
      <c r="B64" s="49">
        <v>200000</v>
      </c>
      <c r="C64" s="49">
        <f t="shared" ref="C64:S64" si="41">B64*1.1</f>
        <v>220000.00000000003</v>
      </c>
      <c r="D64" s="49">
        <f t="shared" si="41"/>
        <v>242000.00000000006</v>
      </c>
      <c r="E64" s="49">
        <f t="shared" si="41"/>
        <v>266200.00000000006</v>
      </c>
      <c r="F64" s="49">
        <f t="shared" si="41"/>
        <v>292820.00000000012</v>
      </c>
      <c r="G64" s="49">
        <f t="shared" si="41"/>
        <v>322102.00000000017</v>
      </c>
      <c r="H64" s="49">
        <f t="shared" si="41"/>
        <v>354312.20000000024</v>
      </c>
      <c r="I64" s="49">
        <f t="shared" si="41"/>
        <v>389743.42000000027</v>
      </c>
      <c r="J64" s="49">
        <f t="shared" si="41"/>
        <v>428717.76200000034</v>
      </c>
      <c r="K64" s="49">
        <f t="shared" si="41"/>
        <v>471589.53820000042</v>
      </c>
      <c r="L64" s="49">
        <f t="shared" si="41"/>
        <v>518748.49202000053</v>
      </c>
      <c r="M64" s="49">
        <f t="shared" si="41"/>
        <v>570623.34122200066</v>
      </c>
      <c r="N64" s="49">
        <f t="shared" si="41"/>
        <v>627685.6753442008</v>
      </c>
      <c r="O64" s="49">
        <f t="shared" si="41"/>
        <v>690454.24287862098</v>
      </c>
      <c r="P64" s="49">
        <f t="shared" si="41"/>
        <v>759499.66716648312</v>
      </c>
      <c r="Q64" s="49">
        <f t="shared" si="41"/>
        <v>835449.63388313155</v>
      </c>
      <c r="R64" s="49">
        <f t="shared" si="41"/>
        <v>918994.59727144474</v>
      </c>
      <c r="S64" s="49">
        <f t="shared" si="41"/>
        <v>1010894.0569985893</v>
      </c>
      <c r="T64" t="s">
        <v>162</v>
      </c>
    </row>
    <row r="65" spans="1:20" ht="14.25" customHeight="1" x14ac:dyDescent="0.35">
      <c r="A65" s="60" t="s">
        <v>156</v>
      </c>
      <c r="B65" s="49">
        <v>10000</v>
      </c>
      <c r="C65" s="49">
        <f t="shared" ref="C65:S65" si="42">B65*1.3</f>
        <v>13000</v>
      </c>
      <c r="D65" s="49">
        <f t="shared" si="42"/>
        <v>16900</v>
      </c>
      <c r="E65" s="49">
        <f t="shared" si="42"/>
        <v>21970</v>
      </c>
      <c r="F65" s="49">
        <f t="shared" si="42"/>
        <v>28561</v>
      </c>
      <c r="G65" s="49">
        <f t="shared" si="42"/>
        <v>37129.300000000003</v>
      </c>
      <c r="H65" s="49">
        <f t="shared" si="42"/>
        <v>48268.090000000004</v>
      </c>
      <c r="I65" s="49">
        <f t="shared" si="42"/>
        <v>62748.517000000007</v>
      </c>
      <c r="J65" s="49">
        <f t="shared" si="42"/>
        <v>81573.072100000005</v>
      </c>
      <c r="K65" s="49">
        <f t="shared" si="42"/>
        <v>106044.99373000002</v>
      </c>
      <c r="L65" s="49">
        <f t="shared" si="42"/>
        <v>137858.49184900001</v>
      </c>
      <c r="M65" s="49">
        <f t="shared" si="42"/>
        <v>179216.03940370004</v>
      </c>
      <c r="N65" s="49">
        <f t="shared" si="42"/>
        <v>232980.85122481006</v>
      </c>
      <c r="O65" s="49">
        <f t="shared" si="42"/>
        <v>302875.10659225308</v>
      </c>
      <c r="P65" s="49">
        <f t="shared" si="42"/>
        <v>393737.638569929</v>
      </c>
      <c r="Q65" s="49">
        <f t="shared" si="42"/>
        <v>511858.9301409077</v>
      </c>
      <c r="R65" s="49">
        <f t="shared" si="42"/>
        <v>665416.60918318003</v>
      </c>
      <c r="S65" s="49">
        <f t="shared" si="42"/>
        <v>865041.59193813405</v>
      </c>
      <c r="T65" t="s">
        <v>163</v>
      </c>
    </row>
  </sheetData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5"/>
  <sheetViews>
    <sheetView showGridLines="0" zoomScale="85" zoomScaleNormal="85" workbookViewId="0">
      <pane ySplit="1" topLeftCell="A2" activePane="bottomLeft" state="frozen"/>
      <selection pane="bottomLeft" activeCell="Q9" sqref="Q9"/>
    </sheetView>
  </sheetViews>
  <sheetFormatPr defaultColWidth="8.54296875" defaultRowHeight="14.5" x14ac:dyDescent="0.35"/>
  <cols>
    <col min="1" max="1" width="28.7265625" customWidth="1"/>
    <col min="2" max="4" width="11.7265625" customWidth="1"/>
    <col min="5" max="5" width="12.54296875" customWidth="1"/>
    <col min="6" max="7" width="12.7265625" customWidth="1"/>
    <col min="8" max="11" width="13.26953125" customWidth="1"/>
    <col min="12" max="19" width="14.26953125" customWidth="1"/>
    <col min="20" max="20" width="9.81640625" customWidth="1"/>
  </cols>
  <sheetData>
    <row r="1" spans="1:20" ht="14.25" customHeight="1" x14ac:dyDescent="0.35">
      <c r="B1" s="47">
        <v>2025</v>
      </c>
      <c r="C1" s="47">
        <v>2026</v>
      </c>
      <c r="D1" s="47">
        <f t="shared" ref="D1:S1" si="0">C1+1</f>
        <v>2027</v>
      </c>
      <c r="E1" s="47">
        <f t="shared" si="0"/>
        <v>2028</v>
      </c>
      <c r="F1" s="47">
        <f t="shared" si="0"/>
        <v>2029</v>
      </c>
      <c r="G1" s="47">
        <f t="shared" si="0"/>
        <v>2030</v>
      </c>
      <c r="H1" s="47">
        <f t="shared" si="0"/>
        <v>2031</v>
      </c>
      <c r="I1" s="47">
        <f t="shared" si="0"/>
        <v>2032</v>
      </c>
      <c r="J1" s="47">
        <f t="shared" si="0"/>
        <v>2033</v>
      </c>
      <c r="K1" s="47">
        <f t="shared" si="0"/>
        <v>2034</v>
      </c>
      <c r="L1" s="47">
        <f t="shared" si="0"/>
        <v>2035</v>
      </c>
      <c r="M1" s="47">
        <f t="shared" si="0"/>
        <v>2036</v>
      </c>
      <c r="N1" s="47">
        <f t="shared" si="0"/>
        <v>2037</v>
      </c>
      <c r="O1" s="47">
        <f t="shared" si="0"/>
        <v>2038</v>
      </c>
      <c r="P1" s="47">
        <f t="shared" si="0"/>
        <v>2039</v>
      </c>
      <c r="Q1" s="47">
        <f t="shared" si="0"/>
        <v>2040</v>
      </c>
      <c r="R1" s="47">
        <f t="shared" si="0"/>
        <v>2041</v>
      </c>
      <c r="S1" s="47">
        <f t="shared" si="0"/>
        <v>2042</v>
      </c>
      <c r="T1" s="47" t="s">
        <v>116</v>
      </c>
    </row>
    <row r="2" spans="1:20" ht="14.25" customHeight="1" x14ac:dyDescent="0.35">
      <c r="A2" t="s">
        <v>117</v>
      </c>
      <c r="B2" s="50">
        <v>900</v>
      </c>
      <c r="C2" s="49">
        <f>B2*1.3</f>
        <v>1170</v>
      </c>
      <c r="D2" s="49">
        <f>C2*1.3</f>
        <v>1521</v>
      </c>
      <c r="E2" s="49">
        <f>D2*1.25</f>
        <v>1901.25</v>
      </c>
      <c r="F2" s="49">
        <f>E2*1.25</f>
        <v>2376.5625</v>
      </c>
      <c r="G2" s="49">
        <f>F2*1.25</f>
        <v>2970.703125</v>
      </c>
      <c r="H2" s="49">
        <f>G2*1.2</f>
        <v>3564.84375</v>
      </c>
      <c r="I2" s="50">
        <f>I3*I4</f>
        <v>4299.0256682680329</v>
      </c>
      <c r="J2" s="50">
        <f t="shared" ref="J2:S2" si="1">I2*1.1</f>
        <v>4728.928235094837</v>
      </c>
      <c r="K2" s="50">
        <f t="shared" si="1"/>
        <v>5201.8210586043215</v>
      </c>
      <c r="L2" s="50">
        <f t="shared" si="1"/>
        <v>5722.0031644647543</v>
      </c>
      <c r="M2" s="50">
        <f t="shared" si="1"/>
        <v>6294.2034809112301</v>
      </c>
      <c r="N2" s="50">
        <f t="shared" si="1"/>
        <v>6923.6238290023539</v>
      </c>
      <c r="O2" s="50">
        <f t="shared" si="1"/>
        <v>7615.9862119025902</v>
      </c>
      <c r="P2" s="50">
        <f t="shared" si="1"/>
        <v>8377.5848330928493</v>
      </c>
      <c r="Q2" s="50">
        <f t="shared" si="1"/>
        <v>9215.3433164021353</v>
      </c>
      <c r="R2" s="50">
        <f t="shared" si="1"/>
        <v>10136.877648042349</v>
      </c>
      <c r="S2" s="50">
        <f t="shared" si="1"/>
        <v>11150.565412846585</v>
      </c>
    </row>
    <row r="3" spans="1:20" ht="14.25" customHeight="1" x14ac:dyDescent="0.35">
      <c r="A3" t="s">
        <v>118</v>
      </c>
      <c r="B3" s="51">
        <f t="shared" ref="B3:H3" si="2">B2/B4</f>
        <v>0.15</v>
      </c>
      <c r="C3" s="51">
        <f t="shared" si="2"/>
        <v>0.1875</v>
      </c>
      <c r="D3" s="51">
        <f t="shared" si="2"/>
        <v>0.234375</v>
      </c>
      <c r="E3" s="51">
        <f t="shared" si="2"/>
        <v>0.2872242647058823</v>
      </c>
      <c r="F3" s="51">
        <f t="shared" si="2"/>
        <v>0.35199052047289497</v>
      </c>
      <c r="G3" s="51">
        <f t="shared" si="2"/>
        <v>0.43136093195207714</v>
      </c>
      <c r="H3" s="51">
        <f t="shared" si="2"/>
        <v>0.50748344935538492</v>
      </c>
      <c r="I3" s="52">
        <v>0.6</v>
      </c>
      <c r="J3" s="52">
        <v>0.68</v>
      </c>
      <c r="K3" s="52">
        <v>0.75</v>
      </c>
      <c r="L3" s="52">
        <f>K3+0.03</f>
        <v>0.78</v>
      </c>
      <c r="M3" s="52">
        <f>L3+0.03</f>
        <v>0.81</v>
      </c>
      <c r="N3" s="52">
        <f>M3+0.03</f>
        <v>0.84000000000000008</v>
      </c>
      <c r="O3" s="52">
        <f>N3+0.015</f>
        <v>0.85500000000000009</v>
      </c>
      <c r="P3" s="52">
        <f>O3+0.015</f>
        <v>0.87000000000000011</v>
      </c>
      <c r="Q3" s="52">
        <f>P3+0.015</f>
        <v>0.88500000000000012</v>
      </c>
      <c r="R3" s="52">
        <f>Q3+0.015</f>
        <v>0.90000000000000013</v>
      </c>
      <c r="S3" s="52">
        <f>R3+0.015</f>
        <v>0.91500000000000015</v>
      </c>
    </row>
    <row r="4" spans="1:20" ht="14.25" customHeight="1" x14ac:dyDescent="0.35">
      <c r="A4" t="s">
        <v>119</v>
      </c>
      <c r="B4">
        <v>6000</v>
      </c>
      <c r="C4" s="50">
        <f>B4*1.04</f>
        <v>6240</v>
      </c>
      <c r="D4" s="50">
        <f>C4*1.04</f>
        <v>6489.6</v>
      </c>
      <c r="E4" s="50">
        <f t="shared" ref="E4:S4" si="3">D4*1.02</f>
        <v>6619.3920000000007</v>
      </c>
      <c r="F4" s="50">
        <f t="shared" si="3"/>
        <v>6751.7798400000011</v>
      </c>
      <c r="G4" s="50">
        <f t="shared" si="3"/>
        <v>6886.8154368000014</v>
      </c>
      <c r="H4" s="50">
        <f t="shared" si="3"/>
        <v>7024.5517455360014</v>
      </c>
      <c r="I4" s="50">
        <f t="shared" si="3"/>
        <v>7165.0427804467217</v>
      </c>
      <c r="J4" s="50">
        <f t="shared" si="3"/>
        <v>7308.3436360556561</v>
      </c>
      <c r="K4" s="50">
        <f t="shared" si="3"/>
        <v>7454.5105087767697</v>
      </c>
      <c r="L4" s="50">
        <f t="shared" si="3"/>
        <v>7603.6007189523052</v>
      </c>
      <c r="M4" s="50">
        <f t="shared" si="3"/>
        <v>7755.6727333313511</v>
      </c>
      <c r="N4" s="50">
        <f t="shared" si="3"/>
        <v>7910.7861879979782</v>
      </c>
      <c r="O4" s="50">
        <f t="shared" si="3"/>
        <v>8069.0019117579377</v>
      </c>
      <c r="P4" s="50">
        <f t="shared" si="3"/>
        <v>8230.381949993096</v>
      </c>
      <c r="Q4" s="50">
        <f t="shared" si="3"/>
        <v>8394.9895889929576</v>
      </c>
      <c r="R4" s="50">
        <f t="shared" si="3"/>
        <v>8562.8893807728164</v>
      </c>
      <c r="S4" s="50">
        <f t="shared" si="3"/>
        <v>8734.1471683882737</v>
      </c>
    </row>
    <row r="5" spans="1:20" ht="14.25" customHeight="1" x14ac:dyDescent="0.35">
      <c r="A5" t="s">
        <v>120</v>
      </c>
      <c r="B5" s="50">
        <f>C5*0.99</f>
        <v>8217</v>
      </c>
      <c r="C5" s="50">
        <v>8300</v>
      </c>
      <c r="D5" s="50">
        <f>C5*1.008</f>
        <v>8366.4</v>
      </c>
      <c r="E5" s="50">
        <f>D5*1.008</f>
        <v>8433.3312000000005</v>
      </c>
      <c r="F5" s="50">
        <f>E5*1.008</f>
        <v>8500.7978496000014</v>
      </c>
      <c r="G5" s="50">
        <f>F5*1.008</f>
        <v>8568.804232396802</v>
      </c>
      <c r="H5" s="50">
        <f>G5*1.007</f>
        <v>8628.7858620235784</v>
      </c>
      <c r="I5" s="50">
        <f>H5*1.007</f>
        <v>8689.1873630577429</v>
      </c>
      <c r="J5" s="50">
        <f>I5*1.007</f>
        <v>8750.0116745991454</v>
      </c>
      <c r="K5" s="50">
        <f t="shared" ref="K5:S5" si="4">J5*1.006</f>
        <v>8802.5117446467411</v>
      </c>
      <c r="L5" s="50">
        <f t="shared" si="4"/>
        <v>8855.3268151146221</v>
      </c>
      <c r="M5" s="50">
        <f t="shared" si="4"/>
        <v>8908.4587760053091</v>
      </c>
      <c r="N5" s="50">
        <f t="shared" si="4"/>
        <v>8961.909528661341</v>
      </c>
      <c r="O5" s="50">
        <f t="shared" si="4"/>
        <v>9015.680985833309</v>
      </c>
      <c r="P5" s="50">
        <f t="shared" si="4"/>
        <v>9069.7750717483086</v>
      </c>
      <c r="Q5" s="50">
        <f t="shared" si="4"/>
        <v>9124.1937221787994</v>
      </c>
      <c r="R5" s="50">
        <f t="shared" si="4"/>
        <v>9178.9388845118719</v>
      </c>
      <c r="S5" s="50">
        <f t="shared" si="4"/>
        <v>9234.0125178189428</v>
      </c>
    </row>
    <row r="7" spans="1:20" s="47" customFormat="1" ht="14.25" customHeight="1" x14ac:dyDescent="0.35">
      <c r="A7" s="53" t="s">
        <v>121</v>
      </c>
      <c r="B7" s="48">
        <f t="shared" ref="B7:S7" si="5">SUM(B9:B11)</f>
        <v>53.462199999999996</v>
      </c>
      <c r="C7" s="48">
        <f t="shared" si="5"/>
        <v>107.7669375</v>
      </c>
      <c r="D7" s="48">
        <f t="shared" si="5"/>
        <v>199.90244050000001</v>
      </c>
      <c r="E7" s="48">
        <f t="shared" si="5"/>
        <v>396.64341871209376</v>
      </c>
      <c r="F7" s="48">
        <f t="shared" si="5"/>
        <v>709.32542411890813</v>
      </c>
      <c r="G7" s="48">
        <f t="shared" si="5"/>
        <v>1175.606652830892</v>
      </c>
      <c r="H7" s="48">
        <f t="shared" si="5"/>
        <v>1815.0911191198156</v>
      </c>
      <c r="I7" s="48">
        <f t="shared" si="5"/>
        <v>2658.8890379171812</v>
      </c>
      <c r="J7" s="48">
        <f t="shared" si="5"/>
        <v>3641.857107208798</v>
      </c>
      <c r="K7" s="48">
        <f t="shared" si="5"/>
        <v>4803.3995357214735</v>
      </c>
      <c r="L7" s="48">
        <f t="shared" si="5"/>
        <v>6115.0411167476714</v>
      </c>
      <c r="M7" s="48">
        <f t="shared" si="5"/>
        <v>7736.1220092171698</v>
      </c>
      <c r="N7" s="48">
        <f t="shared" si="5"/>
        <v>9741.6953797374754</v>
      </c>
      <c r="O7" s="48">
        <f t="shared" si="5"/>
        <v>12756.129958588648</v>
      </c>
      <c r="P7" s="48">
        <f t="shared" si="5"/>
        <v>17797.98870596075</v>
      </c>
      <c r="Q7" s="48">
        <f t="shared" si="5"/>
        <v>27067.42374451457</v>
      </c>
      <c r="R7" s="48">
        <f t="shared" si="5"/>
        <v>45373.489795900634</v>
      </c>
      <c r="S7" s="48">
        <f t="shared" si="5"/>
        <v>66867.690090182237</v>
      </c>
      <c r="T7" s="53">
        <f>(M7/B7)^0.1-1</f>
        <v>0.64455214463714561</v>
      </c>
    </row>
    <row r="8" spans="1:20" s="47" customFormat="1" ht="14.25" customHeight="1" x14ac:dyDescent="0.35">
      <c r="A8" s="53"/>
      <c r="B8" s="48"/>
      <c r="C8" s="55">
        <f t="shared" ref="C8:S8" si="6">C7/B7-1</f>
        <v>1.0157594992349734</v>
      </c>
      <c r="D8" s="55">
        <f t="shared" si="6"/>
        <v>0.85495148268456655</v>
      </c>
      <c r="E8" s="55">
        <f t="shared" si="6"/>
        <v>0.98418497403033833</v>
      </c>
      <c r="F8" s="55">
        <f t="shared" si="6"/>
        <v>0.78832016530640248</v>
      </c>
      <c r="G8" s="55">
        <f t="shared" si="6"/>
        <v>0.65735868595317481</v>
      </c>
      <c r="H8" s="56">
        <f t="shared" si="6"/>
        <v>0.54396125162189923</v>
      </c>
      <c r="I8" s="56">
        <f t="shared" si="6"/>
        <v>0.46487909610099631</v>
      </c>
      <c r="J8" s="56">
        <f t="shared" si="6"/>
        <v>0.36969127153257086</v>
      </c>
      <c r="K8" s="56">
        <f t="shared" si="6"/>
        <v>0.31894234021798518</v>
      </c>
      <c r="L8" s="56">
        <f t="shared" si="6"/>
        <v>0.27306526789452024</v>
      </c>
      <c r="M8" s="56">
        <f t="shared" si="6"/>
        <v>0.26509730049561497</v>
      </c>
      <c r="N8" s="56">
        <f t="shared" si="6"/>
        <v>0.25924789812399207</v>
      </c>
      <c r="O8" s="56">
        <f t="shared" si="6"/>
        <v>0.3094363415552015</v>
      </c>
      <c r="P8" s="56">
        <f t="shared" si="6"/>
        <v>0.39524987309943804</v>
      </c>
      <c r="Q8" s="56">
        <f t="shared" si="6"/>
        <v>0.52081362628628813</v>
      </c>
      <c r="R8" s="56">
        <f t="shared" si="6"/>
        <v>0.67631357251337731</v>
      </c>
      <c r="S8" s="56">
        <f t="shared" si="6"/>
        <v>0.47371715049838525</v>
      </c>
      <c r="T8" s="53"/>
    </row>
    <row r="9" spans="1:20" ht="14.25" customHeight="1" x14ac:dyDescent="0.35">
      <c r="A9" s="57" t="s">
        <v>122</v>
      </c>
      <c r="B9" s="58">
        <f t="shared" ref="B9:S9" si="7">B22</f>
        <v>26.549999999999997</v>
      </c>
      <c r="C9" s="58">
        <f t="shared" si="7"/>
        <v>44.840249999999997</v>
      </c>
      <c r="D9" s="58">
        <f t="shared" si="7"/>
        <v>72.945258750000008</v>
      </c>
      <c r="E9" s="58">
        <f t="shared" si="7"/>
        <v>118.02511423828129</v>
      </c>
      <c r="F9" s="58">
        <f t="shared" si="7"/>
        <v>184.15631898193368</v>
      </c>
      <c r="G9" s="58">
        <f t="shared" si="7"/>
        <v>280.09363662803668</v>
      </c>
      <c r="H9" s="58">
        <f t="shared" si="7"/>
        <v>401.28745178627952</v>
      </c>
      <c r="I9" s="58">
        <f t="shared" si="7"/>
        <v>569.3772635783755</v>
      </c>
      <c r="J9" s="58">
        <f t="shared" si="7"/>
        <v>728.3718946708392</v>
      </c>
      <c r="K9" s="58">
        <f t="shared" si="7"/>
        <v>948.79871434908534</v>
      </c>
      <c r="L9" s="58">
        <f t="shared" si="7"/>
        <v>1234.9715776925211</v>
      </c>
      <c r="M9" s="58">
        <f t="shared" si="7"/>
        <v>1587.0631395601849</v>
      </c>
      <c r="N9" s="58">
        <f t="shared" si="7"/>
        <v>2018.6328934527623</v>
      </c>
      <c r="O9" s="58">
        <f t="shared" si="7"/>
        <v>2545.8600791241047</v>
      </c>
      <c r="P9" s="58">
        <f t="shared" si="7"/>
        <v>3188.030037088361</v>
      </c>
      <c r="Q9" s="58">
        <f t="shared" si="7"/>
        <v>3968.108393620581</v>
      </c>
      <c r="R9" s="58">
        <f t="shared" si="7"/>
        <v>4913.41861903674</v>
      </c>
      <c r="S9" s="58">
        <f t="shared" si="7"/>
        <v>5834.7316311129553</v>
      </c>
      <c r="T9" s="51">
        <f>(S9/B9)^(1/17)-1</f>
        <v>0.37328962432157109</v>
      </c>
    </row>
    <row r="10" spans="1:20" ht="14.25" customHeight="1" x14ac:dyDescent="0.35">
      <c r="A10" s="57" t="s">
        <v>123</v>
      </c>
      <c r="B10" s="58">
        <f t="shared" ref="B10:S10" si="8">B38</f>
        <v>26.549999999999997</v>
      </c>
      <c r="C10" s="58">
        <f t="shared" si="8"/>
        <v>62.346037499999994</v>
      </c>
      <c r="D10" s="58">
        <f t="shared" si="8"/>
        <v>125.93899574999999</v>
      </c>
      <c r="E10" s="58">
        <f t="shared" si="8"/>
        <v>276.6564889138125</v>
      </c>
      <c r="F10" s="58">
        <f t="shared" si="8"/>
        <v>521.58970043217437</v>
      </c>
      <c r="G10" s="58">
        <f t="shared" si="8"/>
        <v>888.98444567408728</v>
      </c>
      <c r="H10" s="58">
        <f t="shared" si="8"/>
        <v>1400.6838926040921</v>
      </c>
      <c r="I10" s="58">
        <f t="shared" si="8"/>
        <v>2063.0906501481104</v>
      </c>
      <c r="J10" s="58">
        <f t="shared" si="8"/>
        <v>2857.6752776908688</v>
      </c>
      <c r="K10" s="58">
        <f t="shared" si="8"/>
        <v>3734.088564417686</v>
      </c>
      <c r="L10" s="58">
        <f t="shared" si="8"/>
        <v>4609.5248834089452</v>
      </c>
      <c r="M10" s="58">
        <f t="shared" si="8"/>
        <v>5530.8767171047257</v>
      </c>
      <c r="N10" s="58">
        <f t="shared" si="8"/>
        <v>6398.7215547158858</v>
      </c>
      <c r="O10" s="58">
        <f t="shared" si="8"/>
        <v>7351.331226174213</v>
      </c>
      <c r="P10" s="58">
        <f t="shared" si="8"/>
        <v>8395.7857473083513</v>
      </c>
      <c r="Q10" s="58">
        <f t="shared" si="8"/>
        <v>9539.7115553791136</v>
      </c>
      <c r="R10" s="58">
        <f t="shared" si="8"/>
        <v>10791.321711444854</v>
      </c>
      <c r="S10" s="58">
        <f t="shared" si="8"/>
        <v>12159.458967173974</v>
      </c>
      <c r="T10" s="51">
        <f>(S10/B10)^(1/17)-1</f>
        <v>0.43390563721608078</v>
      </c>
    </row>
    <row r="11" spans="1:20" ht="14.25" customHeight="1" x14ac:dyDescent="0.35">
      <c r="A11" s="57" t="s">
        <v>124</v>
      </c>
      <c r="B11" s="58">
        <f t="shared" ref="B11:S11" si="9">B58</f>
        <v>0.36219999999999997</v>
      </c>
      <c r="C11" s="58">
        <f t="shared" si="9"/>
        <v>0.58065</v>
      </c>
      <c r="D11" s="58">
        <f t="shared" si="9"/>
        <v>1.018186</v>
      </c>
      <c r="E11" s="58">
        <f t="shared" si="9"/>
        <v>1.9618155600000002</v>
      </c>
      <c r="F11" s="58">
        <f t="shared" si="9"/>
        <v>3.5794047048000004</v>
      </c>
      <c r="G11" s="58">
        <f t="shared" si="9"/>
        <v>6.5285705287680011</v>
      </c>
      <c r="H11" s="58">
        <f t="shared" si="9"/>
        <v>13.11977472944416</v>
      </c>
      <c r="I11" s="58">
        <f t="shared" si="9"/>
        <v>26.42112419069559</v>
      </c>
      <c r="J11" s="58">
        <f t="shared" si="9"/>
        <v>55.80993484708987</v>
      </c>
      <c r="K11" s="58">
        <f t="shared" si="9"/>
        <v>120.51225695470242</v>
      </c>
      <c r="L11" s="58">
        <f t="shared" si="9"/>
        <v>270.54465564620438</v>
      </c>
      <c r="M11" s="58">
        <f t="shared" si="9"/>
        <v>618.18215255225914</v>
      </c>
      <c r="N11" s="58">
        <f t="shared" si="9"/>
        <v>1324.3409315688275</v>
      </c>
      <c r="O11" s="58">
        <f t="shared" si="9"/>
        <v>2858.9386532903304</v>
      </c>
      <c r="P11" s="58">
        <f t="shared" si="9"/>
        <v>6214.1729215640362</v>
      </c>
      <c r="Q11" s="58">
        <f t="shared" si="9"/>
        <v>13559.603795514873</v>
      </c>
      <c r="R11" s="58">
        <f t="shared" si="9"/>
        <v>29668.749465419038</v>
      </c>
      <c r="S11" s="58">
        <f t="shared" si="9"/>
        <v>48873.499491895316</v>
      </c>
      <c r="T11" s="51">
        <f>(S11/B11)^(1/17)-1</f>
        <v>1.0034202458843255</v>
      </c>
    </row>
    <row r="12" spans="1:20" ht="14.25" customHeight="1" x14ac:dyDescent="0.3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1"/>
    </row>
    <row r="13" spans="1:20" ht="14.25" customHeight="1" x14ac:dyDescent="0.35">
      <c r="A13" s="59" t="s">
        <v>125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1"/>
    </row>
    <row r="14" spans="1:20" ht="14.25" customHeight="1" x14ac:dyDescent="0.35">
      <c r="A14" s="60" t="s">
        <v>122</v>
      </c>
      <c r="B14" s="55">
        <f t="shared" ref="B14:S14" si="10">B9/B$7</f>
        <v>0.49661255990213643</v>
      </c>
      <c r="C14" s="55">
        <f t="shared" si="10"/>
        <v>0.41608540652832415</v>
      </c>
      <c r="D14" s="55">
        <f t="shared" si="10"/>
        <v>0.36490429315193879</v>
      </c>
      <c r="E14" s="55">
        <f t="shared" si="10"/>
        <v>0.2975597442698289</v>
      </c>
      <c r="F14" s="55">
        <f t="shared" si="10"/>
        <v>0.25962176558197431</v>
      </c>
      <c r="G14" s="55">
        <f t="shared" si="10"/>
        <v>0.23825455219529743</v>
      </c>
      <c r="H14" s="55">
        <f t="shared" si="10"/>
        <v>0.22108391560026702</v>
      </c>
      <c r="I14" s="55">
        <f t="shared" si="10"/>
        <v>0.21414103990755196</v>
      </c>
      <c r="J14" s="55">
        <f t="shared" si="10"/>
        <v>0.20000012994169339</v>
      </c>
      <c r="K14" s="55">
        <f t="shared" si="10"/>
        <v>0.19752650332189683</v>
      </c>
      <c r="L14" s="55">
        <f t="shared" si="10"/>
        <v>0.20195638166850949</v>
      </c>
      <c r="M14" s="55">
        <f t="shared" si="10"/>
        <v>0.20514970390452544</v>
      </c>
      <c r="N14" s="55">
        <f t="shared" si="10"/>
        <v>0.20721576838170047</v>
      </c>
      <c r="O14" s="55">
        <f t="shared" si="10"/>
        <v>0.19957934635261285</v>
      </c>
      <c r="P14" s="55">
        <f t="shared" si="10"/>
        <v>0.17912305091083991</v>
      </c>
      <c r="Q14" s="55">
        <f t="shared" si="10"/>
        <v>0.14660088935965876</v>
      </c>
      <c r="R14" s="55">
        <f t="shared" si="10"/>
        <v>0.10828831198874753</v>
      </c>
      <c r="S14" s="55">
        <f t="shared" si="10"/>
        <v>8.7257861356416624E-2</v>
      </c>
      <c r="T14" s="51"/>
    </row>
    <row r="15" spans="1:20" ht="14.25" customHeight="1" x14ac:dyDescent="0.35">
      <c r="A15" s="60" t="s">
        <v>123</v>
      </c>
      <c r="B15" s="55">
        <f t="shared" ref="B15:S15" si="11">B10/B$7</f>
        <v>0.49661255990213643</v>
      </c>
      <c r="C15" s="55">
        <f t="shared" si="11"/>
        <v>0.57852657731876245</v>
      </c>
      <c r="D15" s="55">
        <f t="shared" si="11"/>
        <v>0.63000229229317484</v>
      </c>
      <c r="E15" s="55">
        <f t="shared" si="11"/>
        <v>0.69749421233842634</v>
      </c>
      <c r="F15" s="55">
        <f t="shared" si="11"/>
        <v>0.73533202490249017</v>
      </c>
      <c r="G15" s="55">
        <f t="shared" si="11"/>
        <v>0.75619208477035171</v>
      </c>
      <c r="H15" s="55">
        <f t="shared" si="11"/>
        <v>0.77168792125616248</v>
      </c>
      <c r="I15" s="55">
        <f t="shared" si="11"/>
        <v>0.77592205644061607</v>
      </c>
      <c r="J15" s="55">
        <f t="shared" si="11"/>
        <v>0.78467528888882077</v>
      </c>
      <c r="K15" s="55">
        <f t="shared" si="11"/>
        <v>0.77738454539297941</v>
      </c>
      <c r="L15" s="55">
        <f t="shared" si="11"/>
        <v>0.75380112666528631</v>
      </c>
      <c r="M15" s="55">
        <f t="shared" si="11"/>
        <v>0.71494176417008237</v>
      </c>
      <c r="N15" s="55">
        <f t="shared" si="11"/>
        <v>0.65683859998590122</v>
      </c>
      <c r="O15" s="55">
        <f t="shared" si="11"/>
        <v>0.5762979250007243</v>
      </c>
      <c r="P15" s="55">
        <f t="shared" si="11"/>
        <v>0.47172665889469334</v>
      </c>
      <c r="Q15" s="55">
        <f t="shared" si="11"/>
        <v>0.35244253924655139</v>
      </c>
      <c r="R15" s="55">
        <f t="shared" si="11"/>
        <v>0.23783318761652358</v>
      </c>
      <c r="S15" s="55">
        <f t="shared" si="11"/>
        <v>0.18184356227611445</v>
      </c>
    </row>
    <row r="16" spans="1:20" ht="14.25" customHeight="1" x14ac:dyDescent="0.35">
      <c r="A16" s="60" t="s">
        <v>124</v>
      </c>
      <c r="B16" s="55">
        <f t="shared" ref="B16:S16" si="12">B11/B$7</f>
        <v>6.7748801957270748E-3</v>
      </c>
      <c r="C16" s="55">
        <f t="shared" si="12"/>
        <v>5.3880161529133181E-3</v>
      </c>
      <c r="D16" s="55">
        <f t="shared" si="12"/>
        <v>5.0934145548863366E-3</v>
      </c>
      <c r="E16" s="55">
        <f t="shared" si="12"/>
        <v>4.9460433917447571E-3</v>
      </c>
      <c r="F16" s="55">
        <f t="shared" si="12"/>
        <v>5.046209515535376E-3</v>
      </c>
      <c r="G16" s="55">
        <f t="shared" si="12"/>
        <v>5.5533630343508437E-3</v>
      </c>
      <c r="H16" s="55">
        <f t="shared" si="12"/>
        <v>7.2281631435705974E-3</v>
      </c>
      <c r="I16" s="55">
        <f t="shared" si="12"/>
        <v>9.9369036518321043E-3</v>
      </c>
      <c r="J16" s="55">
        <f t="shared" si="12"/>
        <v>1.5324581169485771E-2</v>
      </c>
      <c r="K16" s="55">
        <f t="shared" si="12"/>
        <v>2.5088951285123819E-2</v>
      </c>
      <c r="L16" s="55">
        <f t="shared" si="12"/>
        <v>4.4242491666204121E-2</v>
      </c>
      <c r="M16" s="55">
        <f t="shared" si="12"/>
        <v>7.9908531925392157E-2</v>
      </c>
      <c r="N16" s="55">
        <f t="shared" si="12"/>
        <v>0.13594563163239831</v>
      </c>
      <c r="O16" s="55">
        <f t="shared" si="12"/>
        <v>0.22412272864666286</v>
      </c>
      <c r="P16" s="55">
        <f t="shared" si="12"/>
        <v>0.34915029019446669</v>
      </c>
      <c r="Q16" s="55">
        <f t="shared" si="12"/>
        <v>0.5009565713937898</v>
      </c>
      <c r="R16" s="55">
        <f t="shared" si="12"/>
        <v>0.65387850039472883</v>
      </c>
      <c r="S16" s="55">
        <f t="shared" si="12"/>
        <v>0.73089857636746902</v>
      </c>
    </row>
    <row r="18" spans="1:20" ht="23.25" customHeight="1" x14ac:dyDescent="0.55000000000000004">
      <c r="A18" s="61" t="s">
        <v>122</v>
      </c>
    </row>
    <row r="19" spans="1:20" ht="14.25" customHeight="1" x14ac:dyDescent="0.35">
      <c r="A19" s="47" t="s">
        <v>126</v>
      </c>
      <c r="B19" s="48">
        <f t="shared" ref="B19:S19" si="13">(B22+B38)*365</f>
        <v>19381.499999999996</v>
      </c>
      <c r="C19" s="48">
        <f t="shared" si="13"/>
        <v>39122.9949375</v>
      </c>
      <c r="D19" s="48">
        <f t="shared" si="13"/>
        <v>72592.752892499993</v>
      </c>
      <c r="E19" s="48">
        <f t="shared" si="13"/>
        <v>144058.78515051422</v>
      </c>
      <c r="F19" s="48">
        <f t="shared" si="13"/>
        <v>257597.29708614945</v>
      </c>
      <c r="G19" s="48">
        <f t="shared" si="13"/>
        <v>426713.50004027522</v>
      </c>
      <c r="H19" s="48">
        <f t="shared" si="13"/>
        <v>657719.5407024856</v>
      </c>
      <c r="I19" s="48">
        <f t="shared" si="13"/>
        <v>960850.78851016727</v>
      </c>
      <c r="J19" s="48">
        <f t="shared" si="13"/>
        <v>1308907.2179120234</v>
      </c>
      <c r="K19" s="48">
        <f t="shared" si="13"/>
        <v>1709253.8567498715</v>
      </c>
      <c r="L19" s="48">
        <f t="shared" si="13"/>
        <v>2133241.2083020355</v>
      </c>
      <c r="M19" s="48">
        <f t="shared" si="13"/>
        <v>2598048.0476826923</v>
      </c>
      <c r="N19" s="48">
        <f t="shared" si="13"/>
        <v>3072334.3735815566</v>
      </c>
      <c r="O19" s="48">
        <f t="shared" si="13"/>
        <v>3612474.8264338863</v>
      </c>
      <c r="P19" s="48">
        <f t="shared" si="13"/>
        <v>4228092.7613048004</v>
      </c>
      <c r="Q19" s="48">
        <f t="shared" si="13"/>
        <v>4930354.281384889</v>
      </c>
      <c r="R19" s="48">
        <f t="shared" si="13"/>
        <v>5732230.2206257824</v>
      </c>
      <c r="S19" s="48">
        <f t="shared" si="13"/>
        <v>6567879.5683747288</v>
      </c>
      <c r="T19" s="47" t="s">
        <v>127</v>
      </c>
    </row>
    <row r="20" spans="1:20" s="51" customFormat="1" ht="14.25" customHeight="1" x14ac:dyDescent="0.35">
      <c r="A20" s="51" t="s">
        <v>128</v>
      </c>
      <c r="C20" s="51">
        <f t="shared" ref="C20:S20" si="14">C19/B19-1</f>
        <v>1.018574152542373</v>
      </c>
      <c r="D20" s="51">
        <f t="shared" si="14"/>
        <v>0.85550091470422451</v>
      </c>
      <c r="E20" s="51">
        <f t="shared" si="14"/>
        <v>0.98447888267642525</v>
      </c>
      <c r="F20" s="51">
        <f t="shared" si="14"/>
        <v>0.7881401458231716</v>
      </c>
      <c r="G20" s="51">
        <f t="shared" si="14"/>
        <v>0.65651388763433904</v>
      </c>
      <c r="H20" s="52">
        <f t="shared" si="14"/>
        <v>0.54136098492409301</v>
      </c>
      <c r="I20" s="52">
        <f t="shared" si="14"/>
        <v>0.46088222874436502</v>
      </c>
      <c r="J20" s="52">
        <f t="shared" si="14"/>
        <v>0.36223775175491069</v>
      </c>
      <c r="K20" s="52">
        <f t="shared" si="14"/>
        <v>0.30586326773908645</v>
      </c>
      <c r="L20" s="52">
        <f t="shared" si="14"/>
        <v>0.24805405579623585</v>
      </c>
      <c r="M20" s="52">
        <f t="shared" si="14"/>
        <v>0.21788761513313459</v>
      </c>
      <c r="N20" s="52">
        <f t="shared" si="14"/>
        <v>0.18255487088543276</v>
      </c>
      <c r="O20" s="52">
        <f t="shared" si="14"/>
        <v>0.17580783442612846</v>
      </c>
      <c r="P20" s="52">
        <f t="shared" si="14"/>
        <v>0.17041445669494992</v>
      </c>
      <c r="Q20" s="52">
        <f t="shared" si="14"/>
        <v>0.16609416106172858</v>
      </c>
      <c r="R20" s="52">
        <f t="shared" si="14"/>
        <v>0.16264063259479489</v>
      </c>
      <c r="S20" s="52">
        <f t="shared" si="14"/>
        <v>0.1457808419386406</v>
      </c>
      <c r="T20" s="53">
        <f>(M19/B19)^0.1-1</f>
        <v>0.63202188900347056</v>
      </c>
    </row>
    <row r="21" spans="1:20" ht="14.25" customHeight="1" x14ac:dyDescent="0.35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22" spans="1:20" ht="14.25" customHeight="1" x14ac:dyDescent="0.35">
      <c r="A22" s="47" t="s">
        <v>129</v>
      </c>
      <c r="B22" s="62">
        <f t="shared" ref="B22:S22" si="15">B23*((B2))*0.000001</f>
        <v>26.549999999999997</v>
      </c>
      <c r="C22" s="62">
        <f t="shared" si="15"/>
        <v>44.840249999999997</v>
      </c>
      <c r="D22" s="62">
        <f t="shared" si="15"/>
        <v>72.945258750000008</v>
      </c>
      <c r="E22" s="62">
        <f t="shared" si="15"/>
        <v>118.02511423828129</v>
      </c>
      <c r="F22" s="62">
        <f t="shared" si="15"/>
        <v>184.15631898193368</v>
      </c>
      <c r="G22" s="62">
        <f t="shared" si="15"/>
        <v>280.09363662803668</v>
      </c>
      <c r="H22" s="62">
        <f t="shared" si="15"/>
        <v>401.28745178627952</v>
      </c>
      <c r="I22" s="62">
        <f t="shared" si="15"/>
        <v>569.3772635783755</v>
      </c>
      <c r="J22" s="62">
        <f t="shared" si="15"/>
        <v>728.3718946708392</v>
      </c>
      <c r="K22" s="62">
        <f t="shared" si="15"/>
        <v>948.79871434908534</v>
      </c>
      <c r="L22" s="62">
        <f t="shared" si="15"/>
        <v>1234.9715776925211</v>
      </c>
      <c r="M22" s="62">
        <f t="shared" si="15"/>
        <v>1587.0631395601849</v>
      </c>
      <c r="N22" s="62">
        <f t="shared" si="15"/>
        <v>2018.6328934527623</v>
      </c>
      <c r="O22" s="62">
        <f t="shared" si="15"/>
        <v>2545.8600791241047</v>
      </c>
      <c r="P22" s="62">
        <f t="shared" si="15"/>
        <v>3188.030037088361</v>
      </c>
      <c r="Q22" s="62">
        <f t="shared" si="15"/>
        <v>3968.108393620581</v>
      </c>
      <c r="R22" s="62">
        <f t="shared" si="15"/>
        <v>4913.41861903674</v>
      </c>
      <c r="S22" s="62">
        <f t="shared" si="15"/>
        <v>5834.7316311129553</v>
      </c>
    </row>
    <row r="23" spans="1:20" ht="14.25" customHeight="1" x14ac:dyDescent="0.35">
      <c r="A23" s="59" t="s">
        <v>130</v>
      </c>
      <c r="B23" s="48">
        <f>(SUMPRODUCT(B24:B27,B31:B34))*B28</f>
        <v>29500</v>
      </c>
      <c r="C23" s="48">
        <f t="shared" ref="C23:S23" si="16">SUMPRODUCT(C24:C27,C31:C34)*C28</f>
        <v>38325</v>
      </c>
      <c r="D23" s="48">
        <f t="shared" si="16"/>
        <v>47958.750000000015</v>
      </c>
      <c r="E23" s="48">
        <f t="shared" si="16"/>
        <v>62077.640625000022</v>
      </c>
      <c r="F23" s="48">
        <f t="shared" si="16"/>
        <v>77488.523437500044</v>
      </c>
      <c r="G23" s="48">
        <f t="shared" si="16"/>
        <v>94285.300429687559</v>
      </c>
      <c r="H23" s="48">
        <f t="shared" si="16"/>
        <v>112568.03381250007</v>
      </c>
      <c r="I23" s="48">
        <f t="shared" si="16"/>
        <v>132443.3272825196</v>
      </c>
      <c r="J23" s="48">
        <f t="shared" si="16"/>
        <v>154024.73001500982</v>
      </c>
      <c r="K23" s="48">
        <f t="shared" si="16"/>
        <v>182397.41499367406</v>
      </c>
      <c r="L23" s="48">
        <f t="shared" si="16"/>
        <v>215828.53804801111</v>
      </c>
      <c r="M23" s="48">
        <f t="shared" si="16"/>
        <v>252146.77987029761</v>
      </c>
      <c r="N23" s="48">
        <f t="shared" si="16"/>
        <v>291557.27452969283</v>
      </c>
      <c r="O23" s="48">
        <f t="shared" si="16"/>
        <v>334278.45170535176</v>
      </c>
      <c r="P23" s="48">
        <f t="shared" si="16"/>
        <v>380542.85341225244</v>
      </c>
      <c r="Q23" s="48">
        <f t="shared" si="16"/>
        <v>430597.99916057975</v>
      </c>
      <c r="R23" s="48">
        <f t="shared" si="16"/>
        <v>484707.30235020921</v>
      </c>
      <c r="S23" s="48">
        <f t="shared" si="16"/>
        <v>523267.7819539762</v>
      </c>
      <c r="T23" s="53">
        <f>(M23/B23)^0.1-1</f>
        <v>0.23931909447813737</v>
      </c>
    </row>
    <row r="24" spans="1:20" ht="14.25" customHeight="1" x14ac:dyDescent="0.35">
      <c r="A24" s="60" t="s">
        <v>131</v>
      </c>
      <c r="B24" s="50">
        <v>1500</v>
      </c>
      <c r="C24" s="50">
        <v>1500</v>
      </c>
      <c r="D24" s="50">
        <v>1500</v>
      </c>
      <c r="E24" s="50">
        <v>1500</v>
      </c>
      <c r="F24" s="50">
        <v>1500</v>
      </c>
      <c r="G24" s="50">
        <v>1500</v>
      </c>
      <c r="H24" s="50">
        <v>1500</v>
      </c>
      <c r="I24" s="50">
        <v>1500</v>
      </c>
      <c r="J24" s="50">
        <v>1500</v>
      </c>
      <c r="K24" s="50">
        <v>1500</v>
      </c>
      <c r="L24" s="50">
        <v>1500</v>
      </c>
      <c r="M24" s="50">
        <v>1500</v>
      </c>
      <c r="N24" s="50">
        <v>1500</v>
      </c>
      <c r="O24" s="50">
        <v>1500</v>
      </c>
      <c r="P24" s="50">
        <v>1500</v>
      </c>
      <c r="Q24" s="50">
        <v>1500</v>
      </c>
      <c r="R24" s="50">
        <v>1500</v>
      </c>
      <c r="S24" s="50">
        <v>1500</v>
      </c>
      <c r="T24" t="s">
        <v>132</v>
      </c>
    </row>
    <row r="25" spans="1:20" ht="14.25" customHeight="1" x14ac:dyDescent="0.35">
      <c r="A25" s="60" t="s">
        <v>133</v>
      </c>
      <c r="B25" s="50">
        <v>15000</v>
      </c>
      <c r="C25" s="50">
        <v>15000</v>
      </c>
      <c r="D25" s="50">
        <v>15000</v>
      </c>
      <c r="E25" s="50">
        <v>15000</v>
      </c>
      <c r="F25" s="50">
        <v>15000</v>
      </c>
      <c r="G25" s="50">
        <v>15000</v>
      </c>
      <c r="H25" s="50">
        <v>15000</v>
      </c>
      <c r="I25" s="50">
        <v>15000</v>
      </c>
      <c r="J25" s="50">
        <v>15000</v>
      </c>
      <c r="K25" s="50">
        <v>15000</v>
      </c>
      <c r="L25" s="50">
        <v>15000</v>
      </c>
      <c r="M25" s="50">
        <v>15000</v>
      </c>
      <c r="N25" s="50">
        <v>15000</v>
      </c>
      <c r="O25" s="50">
        <v>15000</v>
      </c>
      <c r="P25" s="50">
        <v>15000</v>
      </c>
      <c r="Q25" s="50">
        <v>15000</v>
      </c>
      <c r="R25" s="50">
        <v>15000</v>
      </c>
      <c r="S25" s="50">
        <v>15000</v>
      </c>
      <c r="T25" t="s">
        <v>134</v>
      </c>
    </row>
    <row r="26" spans="1:20" ht="14.25" customHeight="1" x14ac:dyDescent="0.35">
      <c r="A26" s="60" t="s">
        <v>135</v>
      </c>
      <c r="B26" s="50">
        <v>175000</v>
      </c>
      <c r="C26" s="50">
        <v>175000</v>
      </c>
      <c r="D26" s="50">
        <v>175000</v>
      </c>
      <c r="E26" s="50">
        <v>175000</v>
      </c>
      <c r="F26" s="50">
        <v>175000</v>
      </c>
      <c r="G26" s="50">
        <v>175000</v>
      </c>
      <c r="H26" s="50">
        <v>175000</v>
      </c>
      <c r="I26" s="50">
        <v>175000</v>
      </c>
      <c r="J26" s="50">
        <v>175000</v>
      </c>
      <c r="K26" s="50">
        <v>175000</v>
      </c>
      <c r="L26" s="50">
        <v>175000</v>
      </c>
      <c r="M26" s="50">
        <v>175000</v>
      </c>
      <c r="N26" s="50">
        <v>175000</v>
      </c>
      <c r="O26" s="50">
        <v>175000</v>
      </c>
      <c r="P26" s="50">
        <v>175000</v>
      </c>
      <c r="Q26" s="50">
        <v>175000</v>
      </c>
      <c r="R26" s="50">
        <v>175000</v>
      </c>
      <c r="S26" s="50">
        <v>175000</v>
      </c>
      <c r="T26" t="s">
        <v>136</v>
      </c>
    </row>
    <row r="27" spans="1:20" ht="14.25" customHeight="1" x14ac:dyDescent="0.35">
      <c r="A27" s="60" t="s">
        <v>137</v>
      </c>
      <c r="B27" s="50">
        <v>800000</v>
      </c>
      <c r="C27" s="50">
        <v>800000</v>
      </c>
      <c r="D27" s="50">
        <v>800000</v>
      </c>
      <c r="E27" s="50">
        <v>800000</v>
      </c>
      <c r="F27" s="50">
        <v>800000</v>
      </c>
      <c r="G27" s="50">
        <v>800000</v>
      </c>
      <c r="H27" s="50">
        <v>800000</v>
      </c>
      <c r="I27" s="50">
        <v>800000</v>
      </c>
      <c r="J27" s="50">
        <v>800000</v>
      </c>
      <c r="K27" s="50">
        <v>800000</v>
      </c>
      <c r="L27" s="50">
        <v>800000</v>
      </c>
      <c r="M27" s="50">
        <v>800000</v>
      </c>
      <c r="N27" s="50">
        <v>800000</v>
      </c>
      <c r="O27" s="50">
        <v>800000</v>
      </c>
      <c r="P27" s="50">
        <v>800000</v>
      </c>
      <c r="Q27" s="50">
        <v>800000</v>
      </c>
      <c r="R27" s="50">
        <v>800000</v>
      </c>
      <c r="S27" s="50">
        <v>800000</v>
      </c>
      <c r="T27" t="s">
        <v>138</v>
      </c>
    </row>
    <row r="28" spans="1:20" ht="14.25" customHeight="1" x14ac:dyDescent="0.35">
      <c r="A28" s="60" t="s">
        <v>139</v>
      </c>
      <c r="B28" s="63">
        <v>1</v>
      </c>
      <c r="C28" s="63">
        <f t="shared" ref="C28:S28" si="17">B28*1.05</f>
        <v>1.05</v>
      </c>
      <c r="D28" s="63">
        <f t="shared" si="17"/>
        <v>1.1025</v>
      </c>
      <c r="E28" s="63">
        <f t="shared" si="17"/>
        <v>1.1576250000000001</v>
      </c>
      <c r="F28" s="63">
        <f t="shared" si="17"/>
        <v>1.2155062500000002</v>
      </c>
      <c r="G28" s="63">
        <f t="shared" si="17"/>
        <v>1.2762815625000004</v>
      </c>
      <c r="H28" s="63">
        <f t="shared" si="17"/>
        <v>1.3400956406250004</v>
      </c>
      <c r="I28" s="63">
        <f t="shared" si="17"/>
        <v>1.4071004226562505</v>
      </c>
      <c r="J28" s="63">
        <f t="shared" si="17"/>
        <v>1.477455443789063</v>
      </c>
      <c r="K28" s="63">
        <f t="shared" si="17"/>
        <v>1.5513282159785162</v>
      </c>
      <c r="L28" s="63">
        <f t="shared" si="17"/>
        <v>1.628894626777442</v>
      </c>
      <c r="M28" s="63">
        <f t="shared" si="17"/>
        <v>1.7103393581163142</v>
      </c>
      <c r="N28" s="63">
        <f t="shared" si="17"/>
        <v>1.7958563260221301</v>
      </c>
      <c r="O28" s="63">
        <f t="shared" si="17"/>
        <v>1.8856491423232367</v>
      </c>
      <c r="P28" s="63">
        <f t="shared" si="17"/>
        <v>1.9799315994393987</v>
      </c>
      <c r="Q28" s="63">
        <f t="shared" si="17"/>
        <v>2.0789281794113688</v>
      </c>
      <c r="R28" s="63">
        <f t="shared" si="17"/>
        <v>2.1828745883819374</v>
      </c>
      <c r="S28" s="63">
        <f t="shared" si="17"/>
        <v>2.2920183178010345</v>
      </c>
      <c r="T28" t="s">
        <v>140</v>
      </c>
    </row>
    <row r="30" spans="1:20" ht="14.25" customHeight="1" x14ac:dyDescent="0.35">
      <c r="A30" s="57" t="s">
        <v>125</v>
      </c>
    </row>
    <row r="31" spans="1:20" ht="14.25" customHeight="1" x14ac:dyDescent="0.35">
      <c r="A31" s="60" t="s">
        <v>131</v>
      </c>
      <c r="B31" s="51">
        <v>0.8</v>
      </c>
      <c r="C31" s="52">
        <f t="shared" ref="C31:R31" si="18">B31-0.05</f>
        <v>0.75</v>
      </c>
      <c r="D31" s="52">
        <f t="shared" si="18"/>
        <v>0.7</v>
      </c>
      <c r="E31" s="52">
        <f t="shared" si="18"/>
        <v>0.64999999999999991</v>
      </c>
      <c r="F31" s="52">
        <f t="shared" si="18"/>
        <v>0.59999999999999987</v>
      </c>
      <c r="G31" s="52">
        <f t="shared" si="18"/>
        <v>0.54999999999999982</v>
      </c>
      <c r="H31" s="52">
        <f t="shared" si="18"/>
        <v>0.49999999999999983</v>
      </c>
      <c r="I31" s="52">
        <f t="shared" si="18"/>
        <v>0.44999999999999984</v>
      </c>
      <c r="J31" s="52">
        <f t="shared" si="18"/>
        <v>0.39999999999999986</v>
      </c>
      <c r="K31" s="52">
        <f t="shared" si="18"/>
        <v>0.34999999999999987</v>
      </c>
      <c r="L31" s="52">
        <f t="shared" si="18"/>
        <v>0.29999999999999988</v>
      </c>
      <c r="M31" s="52">
        <f t="shared" si="18"/>
        <v>0.24999999999999989</v>
      </c>
      <c r="N31" s="52">
        <f t="shared" si="18"/>
        <v>0.1999999999999999</v>
      </c>
      <c r="O31" s="52">
        <f t="shared" si="18"/>
        <v>0.14999999999999991</v>
      </c>
      <c r="P31" s="52">
        <f t="shared" si="18"/>
        <v>9.9999999999999908E-2</v>
      </c>
      <c r="Q31" s="52">
        <f t="shared" si="18"/>
        <v>4.9999999999999906E-2</v>
      </c>
      <c r="R31" s="52">
        <f t="shared" si="18"/>
        <v>-9.7144514654701197E-17</v>
      </c>
      <c r="S31" s="52">
        <v>0</v>
      </c>
    </row>
    <row r="32" spans="1:20" ht="14.25" customHeight="1" x14ac:dyDescent="0.35">
      <c r="A32" s="60" t="s">
        <v>133</v>
      </c>
      <c r="B32" s="51">
        <v>0.12</v>
      </c>
      <c r="C32" s="52">
        <f t="shared" ref="C32:J32" si="19">B32+0.03</f>
        <v>0.15</v>
      </c>
      <c r="D32" s="52">
        <f t="shared" si="19"/>
        <v>0.18</v>
      </c>
      <c r="E32" s="52">
        <f t="shared" si="19"/>
        <v>0.21</v>
      </c>
      <c r="F32" s="52">
        <f t="shared" si="19"/>
        <v>0.24</v>
      </c>
      <c r="G32" s="52">
        <f t="shared" si="19"/>
        <v>0.27</v>
      </c>
      <c r="H32" s="52">
        <f t="shared" si="19"/>
        <v>0.30000000000000004</v>
      </c>
      <c r="I32" s="52">
        <f t="shared" si="19"/>
        <v>0.33000000000000007</v>
      </c>
      <c r="J32" s="52">
        <f t="shared" si="19"/>
        <v>0.3600000000000001</v>
      </c>
      <c r="K32" s="52">
        <f>J32+0.01</f>
        <v>0.37000000000000011</v>
      </c>
      <c r="L32" s="52">
        <v>0.37</v>
      </c>
      <c r="M32" s="52">
        <v>0.37</v>
      </c>
      <c r="N32" s="52">
        <v>0.37</v>
      </c>
      <c r="O32" s="52">
        <v>0.37</v>
      </c>
      <c r="P32" s="52">
        <v>0.37</v>
      </c>
      <c r="Q32" s="52">
        <v>0.37</v>
      </c>
      <c r="R32" s="52">
        <v>0.37</v>
      </c>
      <c r="S32" s="52">
        <v>0.37</v>
      </c>
    </row>
    <row r="33" spans="1:20" ht="14.25" customHeight="1" x14ac:dyDescent="0.35">
      <c r="A33" s="60" t="s">
        <v>135</v>
      </c>
      <c r="B33" s="51">
        <v>0.06</v>
      </c>
      <c r="C33" s="52">
        <f t="shared" ref="C33:S33" si="20">1-C31-C32-C34</f>
        <v>7.5000000000000011E-2</v>
      </c>
      <c r="D33" s="52">
        <f t="shared" si="20"/>
        <v>9.0000000000000052E-2</v>
      </c>
      <c r="E33" s="52">
        <f t="shared" si="20"/>
        <v>0.10000000000000009</v>
      </c>
      <c r="F33" s="52">
        <f t="shared" si="20"/>
        <v>0.11000000000000014</v>
      </c>
      <c r="G33" s="52">
        <f t="shared" si="20"/>
        <v>0.12000000000000016</v>
      </c>
      <c r="H33" s="52">
        <f t="shared" si="20"/>
        <v>0.13000000000000017</v>
      </c>
      <c r="I33" s="52">
        <f t="shared" si="20"/>
        <v>0.14000000000000007</v>
      </c>
      <c r="J33" s="52">
        <f t="shared" si="20"/>
        <v>0.15</v>
      </c>
      <c r="K33" s="52">
        <f t="shared" si="20"/>
        <v>0.18000000000000005</v>
      </c>
      <c r="L33" s="52">
        <f t="shared" si="20"/>
        <v>0.2200000000000002</v>
      </c>
      <c r="M33" s="52">
        <f t="shared" si="20"/>
        <v>0.26000000000000012</v>
      </c>
      <c r="N33" s="52">
        <f t="shared" si="20"/>
        <v>0.30000000000000004</v>
      </c>
      <c r="O33" s="52">
        <f t="shared" si="20"/>
        <v>0.34000000000000008</v>
      </c>
      <c r="P33" s="52">
        <f t="shared" si="20"/>
        <v>0.38000000000000012</v>
      </c>
      <c r="Q33" s="52">
        <f t="shared" si="20"/>
        <v>0.42000000000000004</v>
      </c>
      <c r="R33" s="52">
        <f t="shared" si="20"/>
        <v>0.45999999999999996</v>
      </c>
      <c r="S33" s="52">
        <f t="shared" si="20"/>
        <v>0.44999999999999996</v>
      </c>
    </row>
    <row r="34" spans="1:20" ht="14.25" customHeight="1" x14ac:dyDescent="0.35">
      <c r="A34" s="60" t="s">
        <v>137</v>
      </c>
      <c r="B34" s="51">
        <v>0.02</v>
      </c>
      <c r="C34" s="52">
        <f>B34+0.005</f>
        <v>2.5000000000000001E-2</v>
      </c>
      <c r="D34" s="52">
        <f>C34+0.005</f>
        <v>3.0000000000000002E-2</v>
      </c>
      <c r="E34" s="52">
        <f t="shared" ref="E34:S34" si="21">D34+0.01</f>
        <v>0.04</v>
      </c>
      <c r="F34" s="52">
        <f t="shared" si="21"/>
        <v>0.05</v>
      </c>
      <c r="G34" s="52">
        <f t="shared" si="21"/>
        <v>6.0000000000000005E-2</v>
      </c>
      <c r="H34" s="52">
        <f t="shared" si="21"/>
        <v>7.0000000000000007E-2</v>
      </c>
      <c r="I34" s="52">
        <f t="shared" si="21"/>
        <v>0.08</v>
      </c>
      <c r="J34" s="52">
        <f t="shared" si="21"/>
        <v>0.09</v>
      </c>
      <c r="K34" s="52">
        <f t="shared" si="21"/>
        <v>9.9999999999999992E-2</v>
      </c>
      <c r="L34" s="52">
        <f t="shared" si="21"/>
        <v>0.10999999999999999</v>
      </c>
      <c r="M34" s="52">
        <f t="shared" si="21"/>
        <v>0.11999999999999998</v>
      </c>
      <c r="N34" s="52">
        <f t="shared" si="21"/>
        <v>0.12999999999999998</v>
      </c>
      <c r="O34" s="52">
        <f t="shared" si="21"/>
        <v>0.13999999999999999</v>
      </c>
      <c r="P34" s="52">
        <f t="shared" si="21"/>
        <v>0.15</v>
      </c>
      <c r="Q34" s="52">
        <f t="shared" si="21"/>
        <v>0.16</v>
      </c>
      <c r="R34" s="52">
        <f t="shared" si="21"/>
        <v>0.17</v>
      </c>
      <c r="S34" s="52">
        <f t="shared" si="21"/>
        <v>0.18000000000000002</v>
      </c>
    </row>
    <row r="35" spans="1:20" ht="14.25" customHeight="1" x14ac:dyDescent="0.35">
      <c r="A35" s="60" t="s">
        <v>141</v>
      </c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</row>
    <row r="37" spans="1:20" s="47" customFormat="1" ht="14.25" customHeight="1" x14ac:dyDescent="0.35">
      <c r="A37" s="64" t="s">
        <v>142</v>
      </c>
      <c r="B37" s="48">
        <f t="shared" ref="B37:S37" si="22">B38*365</f>
        <v>9690.7499999999982</v>
      </c>
      <c r="C37" s="48">
        <f t="shared" si="22"/>
        <v>22756.303687499996</v>
      </c>
      <c r="D37" s="48">
        <f t="shared" si="22"/>
        <v>45967.733448749997</v>
      </c>
      <c r="E37" s="48">
        <f t="shared" si="22"/>
        <v>100979.61845354157</v>
      </c>
      <c r="F37" s="48">
        <f t="shared" si="22"/>
        <v>190380.24065774365</v>
      </c>
      <c r="G37" s="48">
        <f t="shared" si="22"/>
        <v>324479.32267104188</v>
      </c>
      <c r="H37" s="48">
        <f t="shared" si="22"/>
        <v>511249.62080049363</v>
      </c>
      <c r="I37" s="48">
        <f t="shared" si="22"/>
        <v>753028.08730406035</v>
      </c>
      <c r="J37" s="48">
        <f t="shared" si="22"/>
        <v>1043051.4763571671</v>
      </c>
      <c r="K37" s="48">
        <f t="shared" si="22"/>
        <v>1362942.3260124554</v>
      </c>
      <c r="L37" s="48">
        <f t="shared" si="22"/>
        <v>1682476.582444265</v>
      </c>
      <c r="M37" s="48">
        <f t="shared" si="22"/>
        <v>2018770.0017432249</v>
      </c>
      <c r="N37" s="48">
        <f t="shared" si="22"/>
        <v>2335533.3674712982</v>
      </c>
      <c r="O37" s="48">
        <f t="shared" si="22"/>
        <v>2683235.8975535878</v>
      </c>
      <c r="P37" s="48">
        <f t="shared" si="22"/>
        <v>3064461.7977675484</v>
      </c>
      <c r="Q37" s="48">
        <f t="shared" si="22"/>
        <v>3481994.7177133765</v>
      </c>
      <c r="R37" s="48">
        <f t="shared" si="22"/>
        <v>3938832.424677372</v>
      </c>
      <c r="S37" s="48">
        <f t="shared" si="22"/>
        <v>4438202.5230185008</v>
      </c>
      <c r="T37" s="53"/>
    </row>
    <row r="38" spans="1:20" ht="14.25" customHeight="1" x14ac:dyDescent="0.35">
      <c r="A38" s="64" t="s">
        <v>143</v>
      </c>
      <c r="B38" s="62">
        <f>B22</f>
        <v>26.549999999999997</v>
      </c>
      <c r="C38" s="65">
        <f t="shared" ref="C38:S38" si="23">C39*C40*0.001*C42</f>
        <v>62.346037499999994</v>
      </c>
      <c r="D38" s="65">
        <f t="shared" si="23"/>
        <v>125.93899574999999</v>
      </c>
      <c r="E38" s="65">
        <f t="shared" si="23"/>
        <v>276.6564889138125</v>
      </c>
      <c r="F38" s="65">
        <f t="shared" si="23"/>
        <v>521.58970043217437</v>
      </c>
      <c r="G38" s="65">
        <f t="shared" si="23"/>
        <v>888.98444567408728</v>
      </c>
      <c r="H38" s="65">
        <f t="shared" si="23"/>
        <v>1400.6838926040921</v>
      </c>
      <c r="I38" s="65">
        <f t="shared" si="23"/>
        <v>2063.0906501481104</v>
      </c>
      <c r="J38" s="65">
        <f t="shared" si="23"/>
        <v>2857.6752776908688</v>
      </c>
      <c r="K38" s="65">
        <f t="shared" si="23"/>
        <v>3734.088564417686</v>
      </c>
      <c r="L38" s="65">
        <f t="shared" si="23"/>
        <v>4609.5248834089452</v>
      </c>
      <c r="M38" s="65">
        <f t="shared" si="23"/>
        <v>5530.8767171047257</v>
      </c>
      <c r="N38" s="65">
        <f t="shared" si="23"/>
        <v>6398.7215547158858</v>
      </c>
      <c r="O38" s="65">
        <f t="shared" si="23"/>
        <v>7351.331226174213</v>
      </c>
      <c r="P38" s="65">
        <f t="shared" si="23"/>
        <v>8395.7857473083513</v>
      </c>
      <c r="Q38" s="65">
        <f t="shared" si="23"/>
        <v>9539.7115553791136</v>
      </c>
      <c r="R38" s="65">
        <f t="shared" si="23"/>
        <v>10791.321711444854</v>
      </c>
      <c r="S38" s="65">
        <f t="shared" si="23"/>
        <v>12159.458967173974</v>
      </c>
      <c r="T38" s="53">
        <f>(M38/B38)^0.1-1</f>
        <v>0.70558334024516234</v>
      </c>
    </row>
    <row r="39" spans="1:20" ht="14.25" customHeight="1" x14ac:dyDescent="0.35">
      <c r="A39" s="66" t="s">
        <v>144</v>
      </c>
      <c r="B39">
        <v>1250</v>
      </c>
      <c r="C39" s="67">
        <f t="shared" ref="C39:S39" si="24">B39*1.01</f>
        <v>1262.5</v>
      </c>
      <c r="D39" s="67">
        <f t="shared" si="24"/>
        <v>1275.125</v>
      </c>
      <c r="E39" s="67">
        <f t="shared" si="24"/>
        <v>1287.87625</v>
      </c>
      <c r="F39" s="67">
        <f t="shared" si="24"/>
        <v>1300.7550125</v>
      </c>
      <c r="G39" s="67">
        <f t="shared" si="24"/>
        <v>1313.7625626250001</v>
      </c>
      <c r="H39" s="67">
        <f t="shared" si="24"/>
        <v>1326.90018825125</v>
      </c>
      <c r="I39" s="67">
        <f t="shared" si="24"/>
        <v>1340.1691901337626</v>
      </c>
      <c r="J39" s="67">
        <f t="shared" si="24"/>
        <v>1353.5708820351003</v>
      </c>
      <c r="K39" s="67">
        <f t="shared" si="24"/>
        <v>1367.1065908554513</v>
      </c>
      <c r="L39" s="67">
        <f t="shared" si="24"/>
        <v>1380.7776567640058</v>
      </c>
      <c r="M39" s="67">
        <f t="shared" si="24"/>
        <v>1394.5854333316458</v>
      </c>
      <c r="N39" s="67">
        <f t="shared" si="24"/>
        <v>1408.5312876649623</v>
      </c>
      <c r="O39" s="67">
        <f t="shared" si="24"/>
        <v>1422.6166005416119</v>
      </c>
      <c r="P39" s="67">
        <f t="shared" si="24"/>
        <v>1436.8427665470281</v>
      </c>
      <c r="Q39" s="67">
        <f t="shared" si="24"/>
        <v>1451.2111942124984</v>
      </c>
      <c r="R39" s="67">
        <f t="shared" si="24"/>
        <v>1465.7233061546235</v>
      </c>
      <c r="S39" s="67">
        <f t="shared" si="24"/>
        <v>1480.3805392161698</v>
      </c>
    </row>
    <row r="40" spans="1:20" ht="14.25" customHeight="1" x14ac:dyDescent="0.35">
      <c r="A40" s="57" t="s">
        <v>145</v>
      </c>
      <c r="B40" s="68">
        <f>B38/(B39/1000)</f>
        <v>21.24</v>
      </c>
      <c r="C40" s="68">
        <f t="shared" ref="C40:S40" si="25">B40*(1+C41)</f>
        <v>32.921999999999997</v>
      </c>
      <c r="D40" s="68">
        <f t="shared" si="25"/>
        <v>49.382999999999996</v>
      </c>
      <c r="E40" s="68">
        <f t="shared" si="25"/>
        <v>71.605349999999987</v>
      </c>
      <c r="F40" s="68">
        <f t="shared" si="25"/>
        <v>100.24748999999997</v>
      </c>
      <c r="G40" s="68">
        <f t="shared" si="25"/>
        <v>135.33411149999998</v>
      </c>
      <c r="H40" s="68">
        <f t="shared" si="25"/>
        <v>175.93434494999997</v>
      </c>
      <c r="I40" s="68">
        <f t="shared" si="25"/>
        <v>219.91793118749996</v>
      </c>
      <c r="J40" s="68">
        <f t="shared" si="25"/>
        <v>263.90151742499995</v>
      </c>
      <c r="K40" s="68">
        <f t="shared" si="25"/>
        <v>303.48674503874992</v>
      </c>
      <c r="L40" s="68">
        <f t="shared" si="25"/>
        <v>333.83541954262495</v>
      </c>
      <c r="M40" s="68">
        <f t="shared" si="25"/>
        <v>360.54225310603499</v>
      </c>
      <c r="N40" s="68">
        <f t="shared" si="25"/>
        <v>378.56936576133677</v>
      </c>
      <c r="O40" s="68">
        <f t="shared" si="25"/>
        <v>397.49783404940365</v>
      </c>
      <c r="P40" s="68">
        <f t="shared" si="25"/>
        <v>417.37272575187387</v>
      </c>
      <c r="Q40" s="68">
        <f t="shared" si="25"/>
        <v>438.24136203946756</v>
      </c>
      <c r="R40" s="68">
        <f t="shared" si="25"/>
        <v>460.15343014144094</v>
      </c>
      <c r="S40" s="68">
        <f t="shared" si="25"/>
        <v>483.16110164851301</v>
      </c>
    </row>
    <row r="41" spans="1:20" ht="14.25" customHeight="1" x14ac:dyDescent="0.35">
      <c r="A41" s="60" t="s">
        <v>146</v>
      </c>
      <c r="B41" s="68"/>
      <c r="C41" s="52">
        <v>0.55000000000000004</v>
      </c>
      <c r="D41" s="52">
        <v>0.5</v>
      </c>
      <c r="E41" s="52">
        <v>0.45</v>
      </c>
      <c r="F41" s="52">
        <v>0.4</v>
      </c>
      <c r="G41" s="52">
        <v>0.35</v>
      </c>
      <c r="H41" s="52">
        <v>0.3</v>
      </c>
      <c r="I41" s="52">
        <v>0.25</v>
      </c>
      <c r="J41" s="52">
        <v>0.2</v>
      </c>
      <c r="K41" s="52">
        <v>0.15</v>
      </c>
      <c r="L41" s="52">
        <v>0.1</v>
      </c>
      <c r="M41" s="52">
        <v>0.08</v>
      </c>
      <c r="N41" s="52">
        <v>0.05</v>
      </c>
      <c r="O41" s="52">
        <v>0.05</v>
      </c>
      <c r="P41" s="52">
        <v>0.05</v>
      </c>
      <c r="Q41" s="52">
        <v>0.05</v>
      </c>
      <c r="R41" s="52">
        <v>0.05</v>
      </c>
      <c r="S41" s="52">
        <v>0.05</v>
      </c>
    </row>
    <row r="42" spans="1:20" ht="14.25" customHeight="1" x14ac:dyDescent="0.35">
      <c r="A42" s="60" t="s">
        <v>12</v>
      </c>
      <c r="B42" s="63">
        <v>1</v>
      </c>
      <c r="C42" s="63">
        <f>B42+0.5</f>
        <v>1.5</v>
      </c>
      <c r="D42" s="63">
        <f>C42+0.5</f>
        <v>2</v>
      </c>
      <c r="E42" s="63">
        <f t="shared" ref="E42:S42" si="26">D42+1</f>
        <v>3</v>
      </c>
      <c r="F42" s="63">
        <f t="shared" si="26"/>
        <v>4</v>
      </c>
      <c r="G42" s="63">
        <f t="shared" si="26"/>
        <v>5</v>
      </c>
      <c r="H42" s="63">
        <f t="shared" si="26"/>
        <v>6</v>
      </c>
      <c r="I42" s="63">
        <f t="shared" si="26"/>
        <v>7</v>
      </c>
      <c r="J42" s="63">
        <f t="shared" si="26"/>
        <v>8</v>
      </c>
      <c r="K42" s="63">
        <f t="shared" si="26"/>
        <v>9</v>
      </c>
      <c r="L42" s="63">
        <f t="shared" si="26"/>
        <v>10</v>
      </c>
      <c r="M42" s="63">
        <f t="shared" si="26"/>
        <v>11</v>
      </c>
      <c r="N42" s="63">
        <f t="shared" si="26"/>
        <v>12</v>
      </c>
      <c r="O42" s="63">
        <f t="shared" si="26"/>
        <v>13</v>
      </c>
      <c r="P42" s="63">
        <f t="shared" si="26"/>
        <v>14</v>
      </c>
      <c r="Q42" s="63">
        <f t="shared" si="26"/>
        <v>15</v>
      </c>
      <c r="R42" s="63">
        <f t="shared" si="26"/>
        <v>16</v>
      </c>
      <c r="S42" s="63">
        <f t="shared" si="26"/>
        <v>17</v>
      </c>
      <c r="T42" s="69" t="s">
        <v>147</v>
      </c>
    </row>
    <row r="43" spans="1:20" ht="14.25" customHeight="1" x14ac:dyDescent="0.35">
      <c r="A43" s="57"/>
    </row>
    <row r="44" spans="1:20" ht="14.25" customHeight="1" x14ac:dyDescent="0.35">
      <c r="A44" s="57"/>
    </row>
    <row r="45" spans="1:20" s="47" customFormat="1" ht="23.25" customHeight="1" x14ac:dyDescent="0.55000000000000004">
      <c r="A45" s="70" t="s">
        <v>148</v>
      </c>
    </row>
    <row r="46" spans="1:20" ht="14.25" customHeight="1" x14ac:dyDescent="0.35">
      <c r="A46" s="57"/>
    </row>
    <row r="47" spans="1:20" ht="14.25" customHeight="1" x14ac:dyDescent="0.35">
      <c r="A47" s="59" t="s">
        <v>149</v>
      </c>
      <c r="B47" s="51"/>
    </row>
    <row r="48" spans="1:20" ht="14.25" customHeight="1" x14ac:dyDescent="0.35">
      <c r="A48" s="60" t="s">
        <v>150</v>
      </c>
      <c r="B48">
        <v>0.01</v>
      </c>
      <c r="C48">
        <v>0.05</v>
      </c>
      <c r="D48">
        <v>0.15</v>
      </c>
      <c r="E48">
        <v>0.5</v>
      </c>
      <c r="F48">
        <v>1</v>
      </c>
      <c r="G48">
        <v>1.5</v>
      </c>
      <c r="H48" s="58">
        <f>AVERAGE(I48,G48)</f>
        <v>2.5499999999999998</v>
      </c>
      <c r="I48">
        <v>3.6</v>
      </c>
      <c r="J48" s="58">
        <f>AVERAGE(K48,I48)</f>
        <v>7.6499999999999995</v>
      </c>
      <c r="K48">
        <v>11.7</v>
      </c>
      <c r="L48" s="58">
        <f>AVERAGE(M48,K48)</f>
        <v>17.899999999999999</v>
      </c>
      <c r="M48">
        <v>24.1</v>
      </c>
      <c r="N48" s="58">
        <f>AVERAGE(O48,M48)</f>
        <v>31.650000000000002</v>
      </c>
      <c r="O48">
        <v>39.200000000000003</v>
      </c>
      <c r="P48" s="58">
        <f>AVERAGE(Q48,O48)</f>
        <v>49.150000000000006</v>
      </c>
      <c r="Q48">
        <v>59.1</v>
      </c>
      <c r="R48" s="58">
        <f>AVERAGE(S48,Q48)</f>
        <v>66.150000000000006</v>
      </c>
      <c r="S48">
        <v>73.2</v>
      </c>
    </row>
    <row r="49" spans="1:23" ht="14.25" customHeight="1" x14ac:dyDescent="0.35">
      <c r="A49" s="60" t="s">
        <v>151</v>
      </c>
      <c r="B49">
        <v>13.8</v>
      </c>
      <c r="C49">
        <v>15.5</v>
      </c>
      <c r="D49">
        <v>24.8</v>
      </c>
      <c r="E49">
        <v>26.5</v>
      </c>
      <c r="F49">
        <v>38.200000000000003</v>
      </c>
      <c r="G49">
        <v>41.8</v>
      </c>
      <c r="H49" s="58">
        <f>AVERAGE(I49,G49)</f>
        <v>46.55</v>
      </c>
      <c r="I49">
        <v>51.3</v>
      </c>
      <c r="J49" s="58">
        <f>AVERAGE(K49,I49)</f>
        <v>56.25</v>
      </c>
      <c r="K49">
        <v>61.2</v>
      </c>
      <c r="L49" s="58">
        <f>AVERAGE(M49,K49)</f>
        <v>81.050000000000011</v>
      </c>
      <c r="M49">
        <v>100.9</v>
      </c>
      <c r="N49" s="58">
        <f>AVERAGE(O49,M49)</f>
        <v>118.65</v>
      </c>
      <c r="O49">
        <v>136.4</v>
      </c>
      <c r="P49" s="58">
        <f>AVERAGE(Q49,O49)</f>
        <v>170.55</v>
      </c>
      <c r="Q49">
        <v>204.7</v>
      </c>
      <c r="R49" s="58">
        <f>AVERAGE(S49,Q49)</f>
        <v>248.2</v>
      </c>
      <c r="S49">
        <v>291.7</v>
      </c>
    </row>
    <row r="50" spans="1:23" ht="14.25" customHeight="1" x14ac:dyDescent="0.35">
      <c r="A50" s="71" t="s">
        <v>152</v>
      </c>
      <c r="B50" s="72">
        <v>0.02</v>
      </c>
      <c r="C50" s="72">
        <v>0.03</v>
      </c>
      <c r="D50" s="72">
        <v>0.06</v>
      </c>
      <c r="E50" s="72">
        <v>0.15</v>
      </c>
      <c r="F50" s="72">
        <f t="shared" ref="F50:R50" si="27">E50*2</f>
        <v>0.3</v>
      </c>
      <c r="G50" s="72">
        <f t="shared" si="27"/>
        <v>0.6</v>
      </c>
      <c r="H50" s="72">
        <f t="shared" si="27"/>
        <v>1.2</v>
      </c>
      <c r="I50" s="72">
        <f t="shared" si="27"/>
        <v>2.4</v>
      </c>
      <c r="J50" s="72">
        <f t="shared" si="27"/>
        <v>4.8</v>
      </c>
      <c r="K50" s="72">
        <f t="shared" si="27"/>
        <v>9.6</v>
      </c>
      <c r="L50" s="72">
        <f t="shared" si="27"/>
        <v>19.2</v>
      </c>
      <c r="M50" s="72">
        <f t="shared" si="27"/>
        <v>38.4</v>
      </c>
      <c r="N50" s="72">
        <f t="shared" si="27"/>
        <v>76.8</v>
      </c>
      <c r="O50" s="72">
        <f t="shared" si="27"/>
        <v>153.6</v>
      </c>
      <c r="P50" s="72">
        <f t="shared" si="27"/>
        <v>307.2</v>
      </c>
      <c r="Q50" s="72">
        <f t="shared" si="27"/>
        <v>614.4</v>
      </c>
      <c r="R50" s="72">
        <f t="shared" si="27"/>
        <v>1228.8</v>
      </c>
      <c r="S50" s="72">
        <f>R50*1.5</f>
        <v>1843.1999999999998</v>
      </c>
    </row>
    <row r="51" spans="1:23" ht="14.25" customHeight="1" x14ac:dyDescent="0.35">
      <c r="A51" s="60" t="s">
        <v>153</v>
      </c>
      <c r="B51" s="58">
        <v>0.6</v>
      </c>
      <c r="C51" s="58">
        <v>0.7</v>
      </c>
      <c r="D51" s="58">
        <v>0.9</v>
      </c>
      <c r="E51" s="58">
        <v>1</v>
      </c>
      <c r="F51" s="58">
        <v>1.2</v>
      </c>
      <c r="G51" s="58">
        <v>1.5</v>
      </c>
      <c r="H51" s="58">
        <f>AVERAGE(I51,G51)</f>
        <v>1.8</v>
      </c>
      <c r="I51" s="58">
        <v>2.1</v>
      </c>
      <c r="J51" s="58">
        <f>AVERAGE(K51,I51)</f>
        <v>2.5</v>
      </c>
      <c r="K51" s="58">
        <v>2.9</v>
      </c>
      <c r="L51" s="58">
        <f>AVERAGE(M51,K51)</f>
        <v>3.5</v>
      </c>
      <c r="M51" s="58">
        <v>4.0999999999999996</v>
      </c>
      <c r="N51" s="58">
        <f>AVERAGE(O51,M51)</f>
        <v>4.8499999999999996</v>
      </c>
      <c r="O51" s="58">
        <v>5.6</v>
      </c>
      <c r="P51" s="58">
        <f>AVERAGE(Q51,O51)</f>
        <v>6.6999999999999993</v>
      </c>
      <c r="Q51" s="58">
        <v>7.8</v>
      </c>
      <c r="R51" s="58">
        <f>AVERAGE(S51,Q51)</f>
        <v>9.4</v>
      </c>
      <c r="S51" s="58">
        <v>11</v>
      </c>
    </row>
    <row r="52" spans="1:23" ht="14.25" customHeight="1" x14ac:dyDescent="0.35">
      <c r="A52" s="60" t="s">
        <v>154</v>
      </c>
      <c r="B52" s="58">
        <v>0</v>
      </c>
      <c r="C52" s="58">
        <v>0</v>
      </c>
      <c r="D52" s="58">
        <v>0</v>
      </c>
      <c r="E52" s="58">
        <v>0.01</v>
      </c>
      <c r="F52" s="58">
        <v>0.01</v>
      </c>
      <c r="G52" s="58">
        <v>0.02</v>
      </c>
      <c r="H52" s="58">
        <f>AVERAGE(I52,G52)</f>
        <v>0.03</v>
      </c>
      <c r="I52" s="58">
        <v>0.04</v>
      </c>
      <c r="J52" s="58">
        <f>AVERAGE(K52,I52)</f>
        <v>7.0000000000000007E-2</v>
      </c>
      <c r="K52" s="58">
        <v>0.1</v>
      </c>
      <c r="L52" s="58">
        <f>AVERAGE(M52,K52)</f>
        <v>0.16999999999999998</v>
      </c>
      <c r="M52" s="58">
        <v>0.24</v>
      </c>
      <c r="N52" s="58">
        <f>AVERAGE(O52,M52)</f>
        <v>0.35499999999999998</v>
      </c>
      <c r="O52" s="58">
        <v>0.47</v>
      </c>
      <c r="P52" s="58">
        <f>AVERAGE(Q52,O52)</f>
        <v>0.65500000000000003</v>
      </c>
      <c r="Q52" s="58">
        <v>0.84</v>
      </c>
      <c r="R52" s="58">
        <f>AVERAGE(S52,Q52)</f>
        <v>1.115</v>
      </c>
      <c r="S52" s="58">
        <v>1.39</v>
      </c>
    </row>
    <row r="53" spans="1:23" ht="14.25" customHeight="1" x14ac:dyDescent="0.35">
      <c r="A53" s="60" t="s">
        <v>155</v>
      </c>
      <c r="B53" s="58">
        <v>1.1000000000000001</v>
      </c>
      <c r="C53" s="58">
        <v>1.5</v>
      </c>
      <c r="D53" s="58">
        <v>2</v>
      </c>
      <c r="E53" s="58">
        <v>2.7</v>
      </c>
      <c r="F53" s="58">
        <v>3.6</v>
      </c>
      <c r="G53" s="58">
        <v>4.8</v>
      </c>
      <c r="H53" s="58">
        <f>AVERAGE(I53,G53)</f>
        <v>6.65</v>
      </c>
      <c r="I53" s="58">
        <v>8.5</v>
      </c>
      <c r="J53" s="58">
        <f>AVERAGE(K53,I53)</f>
        <v>11.55</v>
      </c>
      <c r="K53" s="58">
        <v>14.6</v>
      </c>
      <c r="L53" s="58">
        <f>AVERAGE(M53,K53)</f>
        <v>18.95</v>
      </c>
      <c r="M53" s="58">
        <v>23.3</v>
      </c>
      <c r="N53" s="58">
        <f>AVERAGE(O53,M53)</f>
        <v>29.15</v>
      </c>
      <c r="O53" s="58">
        <v>35</v>
      </c>
      <c r="P53" s="58">
        <f>AVERAGE(Q53,O53)</f>
        <v>43</v>
      </c>
      <c r="Q53" s="58">
        <v>51</v>
      </c>
      <c r="R53" s="58">
        <f>AVERAGE(S53,Q53)</f>
        <v>61.2</v>
      </c>
      <c r="S53" s="58">
        <v>71.400000000000006</v>
      </c>
    </row>
    <row r="54" spans="1:23" ht="14.25" customHeight="1" x14ac:dyDescent="0.35">
      <c r="A54" s="60" t="s">
        <v>156</v>
      </c>
      <c r="B54" s="58">
        <v>8</v>
      </c>
      <c r="C54" s="58">
        <v>11.2</v>
      </c>
      <c r="D54" s="58">
        <v>17.7</v>
      </c>
      <c r="E54" s="58">
        <v>27.3</v>
      </c>
      <c r="F54" s="58">
        <v>36.5</v>
      </c>
      <c r="G54" s="58">
        <v>43.2</v>
      </c>
      <c r="H54" s="58">
        <f>AVERAGE(I54,G54)</f>
        <v>60.300000000000004</v>
      </c>
      <c r="I54" s="58">
        <v>77.400000000000006</v>
      </c>
      <c r="J54" s="58">
        <f>AVERAGE(K54,I54)</f>
        <v>90.300000000000011</v>
      </c>
      <c r="K54" s="58">
        <v>103.2</v>
      </c>
      <c r="L54" s="58">
        <f>AVERAGE(M54,K54)</f>
        <v>123.05000000000001</v>
      </c>
      <c r="M54" s="58">
        <v>142.9</v>
      </c>
      <c r="N54" s="58">
        <f>AVERAGE(O54,M54)</f>
        <v>164.45</v>
      </c>
      <c r="O54" s="58">
        <v>186</v>
      </c>
      <c r="P54" s="58">
        <f>AVERAGE(Q54,O54)</f>
        <v>210.3</v>
      </c>
      <c r="Q54" s="58">
        <v>234.6</v>
      </c>
      <c r="R54" s="58">
        <f>AVERAGE(S54,Q54)</f>
        <v>251.95</v>
      </c>
      <c r="S54" s="58">
        <v>269.3</v>
      </c>
    </row>
    <row r="55" spans="1:23" ht="14.25" customHeight="1" x14ac:dyDescent="0.35">
      <c r="A55" s="73" t="s">
        <v>157</v>
      </c>
      <c r="B55" s="62">
        <f t="shared" ref="B55:S55" si="28">SUM(B48:B54)</f>
        <v>23.53</v>
      </c>
      <c r="C55" s="62">
        <f t="shared" si="28"/>
        <v>28.98</v>
      </c>
      <c r="D55" s="62">
        <f t="shared" si="28"/>
        <v>45.61</v>
      </c>
      <c r="E55" s="62">
        <f t="shared" si="28"/>
        <v>58.16</v>
      </c>
      <c r="F55" s="62">
        <f t="shared" si="28"/>
        <v>80.81</v>
      </c>
      <c r="G55" s="62">
        <f t="shared" si="28"/>
        <v>93.42</v>
      </c>
      <c r="H55" s="62">
        <f t="shared" si="28"/>
        <v>119.08</v>
      </c>
      <c r="I55" s="62">
        <f t="shared" si="28"/>
        <v>145.34</v>
      </c>
      <c r="J55" s="62">
        <f t="shared" si="28"/>
        <v>173.12</v>
      </c>
      <c r="K55" s="62">
        <f t="shared" si="28"/>
        <v>203.3</v>
      </c>
      <c r="L55" s="62">
        <f t="shared" si="28"/>
        <v>263.82000000000005</v>
      </c>
      <c r="M55" s="62">
        <f t="shared" si="28"/>
        <v>333.94000000000005</v>
      </c>
      <c r="N55" s="62">
        <f t="shared" si="28"/>
        <v>425.90499999999997</v>
      </c>
      <c r="O55" s="62">
        <f t="shared" si="28"/>
        <v>556.2700000000001</v>
      </c>
      <c r="P55" s="62">
        <f t="shared" si="28"/>
        <v>787.55500000000006</v>
      </c>
      <c r="Q55" s="62">
        <f t="shared" si="28"/>
        <v>1172.44</v>
      </c>
      <c r="R55" s="62">
        <f t="shared" si="28"/>
        <v>1866.8150000000003</v>
      </c>
      <c r="S55" s="62">
        <f t="shared" si="28"/>
        <v>2561.19</v>
      </c>
    </row>
    <row r="58" spans="1:23" ht="14.25" customHeight="1" x14ac:dyDescent="0.35">
      <c r="A58" s="59" t="s">
        <v>158</v>
      </c>
      <c r="B58" s="62">
        <f t="shared" ref="B58:S58" si="29">SUMPRODUCT(B48:B54, B59:B65) * 0.000001</f>
        <v>0.36219999999999997</v>
      </c>
      <c r="C58" s="62">
        <f t="shared" si="29"/>
        <v>0.58065</v>
      </c>
      <c r="D58" s="62">
        <f t="shared" si="29"/>
        <v>1.018186</v>
      </c>
      <c r="E58" s="62">
        <f t="shared" si="29"/>
        <v>1.9618155600000002</v>
      </c>
      <c r="F58" s="62">
        <f t="shared" si="29"/>
        <v>3.5794047048000004</v>
      </c>
      <c r="G58" s="62">
        <f t="shared" si="29"/>
        <v>6.5285705287680011</v>
      </c>
      <c r="H58" s="62">
        <f t="shared" si="29"/>
        <v>13.11977472944416</v>
      </c>
      <c r="I58" s="62">
        <f t="shared" si="29"/>
        <v>26.42112419069559</v>
      </c>
      <c r="J58" s="62">
        <f t="shared" si="29"/>
        <v>55.80993484708987</v>
      </c>
      <c r="K58" s="62">
        <f t="shared" si="29"/>
        <v>120.51225695470242</v>
      </c>
      <c r="L58" s="62">
        <f t="shared" si="29"/>
        <v>270.54465564620438</v>
      </c>
      <c r="M58" s="62">
        <f t="shared" si="29"/>
        <v>618.18215255225914</v>
      </c>
      <c r="N58" s="62">
        <f t="shared" si="29"/>
        <v>1324.3409315688275</v>
      </c>
      <c r="O58" s="62">
        <f t="shared" si="29"/>
        <v>2858.9386532903304</v>
      </c>
      <c r="P58" s="62">
        <f t="shared" si="29"/>
        <v>6214.1729215640362</v>
      </c>
      <c r="Q58" s="62">
        <f t="shared" si="29"/>
        <v>13559.603795514873</v>
      </c>
      <c r="R58" s="62">
        <f t="shared" si="29"/>
        <v>29668.749465419038</v>
      </c>
      <c r="S58" s="62">
        <f t="shared" si="29"/>
        <v>48873.499491895316</v>
      </c>
    </row>
    <row r="59" spans="1:23" ht="14.25" customHeight="1" x14ac:dyDescent="0.35">
      <c r="A59" s="60" t="s">
        <v>150</v>
      </c>
      <c r="B59" s="49">
        <v>30000</v>
      </c>
      <c r="C59" s="49">
        <f t="shared" ref="C59:L59" si="30">B59+25000</f>
        <v>55000</v>
      </c>
      <c r="D59" s="49">
        <f t="shared" si="30"/>
        <v>80000</v>
      </c>
      <c r="E59" s="49">
        <f t="shared" si="30"/>
        <v>105000</v>
      </c>
      <c r="F59" s="49">
        <f t="shared" si="30"/>
        <v>130000</v>
      </c>
      <c r="G59" s="49">
        <f t="shared" si="30"/>
        <v>155000</v>
      </c>
      <c r="H59" s="49">
        <f t="shared" si="30"/>
        <v>180000</v>
      </c>
      <c r="I59" s="49">
        <f t="shared" si="30"/>
        <v>205000</v>
      </c>
      <c r="J59" s="49">
        <f t="shared" si="30"/>
        <v>230000</v>
      </c>
      <c r="K59" s="49">
        <f t="shared" si="30"/>
        <v>255000</v>
      </c>
      <c r="L59" s="49">
        <f t="shared" si="30"/>
        <v>280000</v>
      </c>
      <c r="M59" s="49">
        <v>300000</v>
      </c>
      <c r="N59" s="49">
        <f t="shared" ref="N59:S59" si="31">M59+25000</f>
        <v>325000</v>
      </c>
      <c r="O59" s="49">
        <f t="shared" si="31"/>
        <v>350000</v>
      </c>
      <c r="P59" s="49">
        <f t="shared" si="31"/>
        <v>375000</v>
      </c>
      <c r="Q59" s="49">
        <f t="shared" si="31"/>
        <v>400000</v>
      </c>
      <c r="R59" s="49">
        <f t="shared" si="31"/>
        <v>425000</v>
      </c>
      <c r="S59" s="49">
        <f t="shared" si="31"/>
        <v>450000</v>
      </c>
      <c r="T59" t="s">
        <v>159</v>
      </c>
    </row>
    <row r="60" spans="1:23" ht="14.25" customHeight="1" x14ac:dyDescent="0.35">
      <c r="A60" s="60" t="s">
        <v>151</v>
      </c>
      <c r="B60" s="49">
        <v>500</v>
      </c>
      <c r="C60" s="49">
        <f t="shared" ref="C60:S60" si="32">B60*1.2</f>
        <v>600</v>
      </c>
      <c r="D60" s="49">
        <f t="shared" si="32"/>
        <v>720</v>
      </c>
      <c r="E60" s="49">
        <f t="shared" si="32"/>
        <v>864</v>
      </c>
      <c r="F60" s="49">
        <f t="shared" si="32"/>
        <v>1036.8</v>
      </c>
      <c r="G60" s="49">
        <f t="shared" si="32"/>
        <v>1244.1599999999999</v>
      </c>
      <c r="H60" s="49">
        <f t="shared" si="32"/>
        <v>1492.9919999999997</v>
      </c>
      <c r="I60" s="49">
        <f t="shared" si="32"/>
        <v>1791.5903999999996</v>
      </c>
      <c r="J60" s="49">
        <f t="shared" si="32"/>
        <v>2149.9084799999996</v>
      </c>
      <c r="K60" s="49">
        <f t="shared" si="32"/>
        <v>2579.8901759999994</v>
      </c>
      <c r="L60" s="49">
        <f t="shared" si="32"/>
        <v>3095.8682111999992</v>
      </c>
      <c r="M60" s="49">
        <f t="shared" si="32"/>
        <v>3715.0418534399987</v>
      </c>
      <c r="N60" s="49">
        <f t="shared" si="32"/>
        <v>4458.0502241279983</v>
      </c>
      <c r="O60" s="49">
        <f t="shared" si="32"/>
        <v>5349.6602689535976</v>
      </c>
      <c r="P60" s="49">
        <f t="shared" si="32"/>
        <v>6419.5923227443172</v>
      </c>
      <c r="Q60" s="49">
        <f t="shared" si="32"/>
        <v>7703.5107872931803</v>
      </c>
      <c r="R60" s="49">
        <f t="shared" si="32"/>
        <v>9244.2129447518164</v>
      </c>
      <c r="S60" s="49">
        <f t="shared" si="32"/>
        <v>11093.05553370218</v>
      </c>
      <c r="T60" t="s">
        <v>160</v>
      </c>
      <c r="W60" t="s">
        <v>161</v>
      </c>
    </row>
    <row r="61" spans="1:23" ht="14.25" customHeight="1" x14ac:dyDescent="0.35">
      <c r="A61" s="60" t="s">
        <v>152</v>
      </c>
      <c r="B61" s="49">
        <v>2000000</v>
      </c>
      <c r="C61" s="49">
        <f t="shared" ref="C61:M61" si="33">B61*1.2</f>
        <v>2400000</v>
      </c>
      <c r="D61" s="49">
        <f t="shared" si="33"/>
        <v>2880000</v>
      </c>
      <c r="E61" s="49">
        <f t="shared" si="33"/>
        <v>3456000</v>
      </c>
      <c r="F61" s="49">
        <f t="shared" si="33"/>
        <v>4147200</v>
      </c>
      <c r="G61" s="49">
        <f t="shared" si="33"/>
        <v>4976640</v>
      </c>
      <c r="H61" s="49">
        <f t="shared" si="33"/>
        <v>5971968</v>
      </c>
      <c r="I61" s="49">
        <f t="shared" si="33"/>
        <v>7166361.5999999996</v>
      </c>
      <c r="J61" s="49">
        <f t="shared" si="33"/>
        <v>8599633.9199999999</v>
      </c>
      <c r="K61" s="49">
        <f t="shared" si="33"/>
        <v>10319560.704</v>
      </c>
      <c r="L61" s="49">
        <f t="shared" si="33"/>
        <v>12383472.844799999</v>
      </c>
      <c r="M61" s="49">
        <f t="shared" si="33"/>
        <v>14860167.413759999</v>
      </c>
      <c r="N61" s="49">
        <f t="shared" ref="N61:S61" si="34">M61*1.1</f>
        <v>16346184.155136</v>
      </c>
      <c r="O61" s="49">
        <f t="shared" si="34"/>
        <v>17980802.570649602</v>
      </c>
      <c r="P61" s="49">
        <f t="shared" si="34"/>
        <v>19778882.827714562</v>
      </c>
      <c r="Q61" s="49">
        <f t="shared" si="34"/>
        <v>21756771.110486019</v>
      </c>
      <c r="R61" s="49">
        <f t="shared" si="34"/>
        <v>23932448.221534625</v>
      </c>
      <c r="S61" s="49">
        <f t="shared" si="34"/>
        <v>26325693.043688089</v>
      </c>
    </row>
    <row r="62" spans="1:23" ht="14.25" customHeight="1" x14ac:dyDescent="0.35">
      <c r="A62" s="60" t="s">
        <v>153</v>
      </c>
      <c r="B62" s="49">
        <v>25000</v>
      </c>
      <c r="C62" s="49">
        <f t="shared" ref="C62:M62" si="35">B62*1.2</f>
        <v>30000</v>
      </c>
      <c r="D62" s="49">
        <f t="shared" si="35"/>
        <v>36000</v>
      </c>
      <c r="E62" s="49">
        <f t="shared" si="35"/>
        <v>43200</v>
      </c>
      <c r="F62" s="49">
        <f t="shared" si="35"/>
        <v>51840</v>
      </c>
      <c r="G62" s="49">
        <f t="shared" si="35"/>
        <v>62208</v>
      </c>
      <c r="H62" s="49">
        <f t="shared" si="35"/>
        <v>74649.599999999991</v>
      </c>
      <c r="I62" s="49">
        <f t="shared" si="35"/>
        <v>89579.51999999999</v>
      </c>
      <c r="J62" s="49">
        <f t="shared" si="35"/>
        <v>107495.42399999998</v>
      </c>
      <c r="K62" s="49">
        <f t="shared" si="35"/>
        <v>128994.50879999998</v>
      </c>
      <c r="L62" s="49">
        <f t="shared" si="35"/>
        <v>154793.41055999996</v>
      </c>
      <c r="M62" s="49">
        <f t="shared" si="35"/>
        <v>185752.09267199994</v>
      </c>
      <c r="N62" s="49">
        <f t="shared" ref="N62:S62" si="36">M62*1.2</f>
        <v>222902.51120639991</v>
      </c>
      <c r="O62" s="49">
        <f t="shared" si="36"/>
        <v>267483.01344767987</v>
      </c>
      <c r="P62" s="49">
        <f t="shared" si="36"/>
        <v>320979.61613721581</v>
      </c>
      <c r="Q62" s="49">
        <f t="shared" si="36"/>
        <v>385175.53936465894</v>
      </c>
      <c r="R62" s="49">
        <f t="shared" si="36"/>
        <v>462210.64723759069</v>
      </c>
      <c r="S62" s="49">
        <f t="shared" si="36"/>
        <v>554652.77668510878</v>
      </c>
    </row>
    <row r="63" spans="1:23" ht="14.25" customHeight="1" x14ac:dyDescent="0.35">
      <c r="A63" s="60" t="s">
        <v>154</v>
      </c>
      <c r="B63" s="49">
        <v>500000</v>
      </c>
      <c r="C63" s="49">
        <f t="shared" ref="C63:S63" si="37">B63*1.08</f>
        <v>540000</v>
      </c>
      <c r="D63" s="49">
        <f t="shared" si="37"/>
        <v>583200</v>
      </c>
      <c r="E63" s="49">
        <f t="shared" si="37"/>
        <v>629856</v>
      </c>
      <c r="F63" s="49">
        <f t="shared" si="37"/>
        <v>680244.4800000001</v>
      </c>
      <c r="G63" s="49">
        <f t="shared" si="37"/>
        <v>734664.03840000019</v>
      </c>
      <c r="H63" s="49">
        <f t="shared" si="37"/>
        <v>793437.1614720003</v>
      </c>
      <c r="I63" s="49">
        <f t="shared" si="37"/>
        <v>856912.13438976032</v>
      </c>
      <c r="J63" s="49">
        <f t="shared" si="37"/>
        <v>925465.10514094122</v>
      </c>
      <c r="K63" s="49">
        <f t="shared" si="37"/>
        <v>999502.31355221663</v>
      </c>
      <c r="L63" s="49">
        <f t="shared" si="37"/>
        <v>1079462.498636394</v>
      </c>
      <c r="M63" s="49">
        <f t="shared" si="37"/>
        <v>1165819.4985273057</v>
      </c>
      <c r="N63" s="49">
        <f t="shared" si="37"/>
        <v>1259085.0584094902</v>
      </c>
      <c r="O63" s="49">
        <f t="shared" si="37"/>
        <v>1359811.8630822494</v>
      </c>
      <c r="P63" s="49">
        <f t="shared" si="37"/>
        <v>1468596.8121288295</v>
      </c>
      <c r="Q63" s="49">
        <f t="shared" si="37"/>
        <v>1586084.5570991361</v>
      </c>
      <c r="R63" s="49">
        <f t="shared" si="37"/>
        <v>1712971.321667067</v>
      </c>
      <c r="S63" s="49">
        <f t="shared" si="37"/>
        <v>1850009.0274004324</v>
      </c>
    </row>
    <row r="64" spans="1:23" ht="14.25" customHeight="1" x14ac:dyDescent="0.35">
      <c r="A64" s="60" t="s">
        <v>155</v>
      </c>
      <c r="B64" s="49">
        <v>200000</v>
      </c>
      <c r="C64" s="49">
        <f t="shared" ref="C64:S64" si="38">B64*1.1</f>
        <v>220000.00000000003</v>
      </c>
      <c r="D64" s="49">
        <f t="shared" si="38"/>
        <v>242000.00000000006</v>
      </c>
      <c r="E64" s="49">
        <f t="shared" si="38"/>
        <v>266200.00000000006</v>
      </c>
      <c r="F64" s="49">
        <f t="shared" si="38"/>
        <v>292820.00000000012</v>
      </c>
      <c r="G64" s="49">
        <f t="shared" si="38"/>
        <v>322102.00000000017</v>
      </c>
      <c r="H64" s="49">
        <f t="shared" si="38"/>
        <v>354312.20000000024</v>
      </c>
      <c r="I64" s="49">
        <f t="shared" si="38"/>
        <v>389743.42000000027</v>
      </c>
      <c r="J64" s="49">
        <f t="shared" si="38"/>
        <v>428717.76200000034</v>
      </c>
      <c r="K64" s="49">
        <f t="shared" si="38"/>
        <v>471589.53820000042</v>
      </c>
      <c r="L64" s="49">
        <f t="shared" si="38"/>
        <v>518748.49202000053</v>
      </c>
      <c r="M64" s="49">
        <f t="shared" si="38"/>
        <v>570623.34122200066</v>
      </c>
      <c r="N64" s="49">
        <f t="shared" si="38"/>
        <v>627685.6753442008</v>
      </c>
      <c r="O64" s="49">
        <f t="shared" si="38"/>
        <v>690454.24287862098</v>
      </c>
      <c r="P64" s="49">
        <f t="shared" si="38"/>
        <v>759499.66716648312</v>
      </c>
      <c r="Q64" s="49">
        <f t="shared" si="38"/>
        <v>835449.63388313155</v>
      </c>
      <c r="R64" s="49">
        <f t="shared" si="38"/>
        <v>918994.59727144474</v>
      </c>
      <c r="S64" s="49">
        <f t="shared" si="38"/>
        <v>1010894.0569985893</v>
      </c>
      <c r="T64" t="s">
        <v>162</v>
      </c>
    </row>
    <row r="65" spans="1:20" ht="14.25" customHeight="1" x14ac:dyDescent="0.35">
      <c r="A65" s="60" t="s">
        <v>156</v>
      </c>
      <c r="B65" s="49">
        <v>10000</v>
      </c>
      <c r="C65" s="49">
        <f t="shared" ref="C65:S65" si="39">B65*1.3</f>
        <v>13000</v>
      </c>
      <c r="D65" s="49">
        <f t="shared" si="39"/>
        <v>16900</v>
      </c>
      <c r="E65" s="49">
        <f t="shared" si="39"/>
        <v>21970</v>
      </c>
      <c r="F65" s="49">
        <f t="shared" si="39"/>
        <v>28561</v>
      </c>
      <c r="G65" s="49">
        <f t="shared" si="39"/>
        <v>37129.300000000003</v>
      </c>
      <c r="H65" s="49">
        <f t="shared" si="39"/>
        <v>48268.090000000004</v>
      </c>
      <c r="I65" s="49">
        <f t="shared" si="39"/>
        <v>62748.517000000007</v>
      </c>
      <c r="J65" s="49">
        <f t="shared" si="39"/>
        <v>81573.072100000005</v>
      </c>
      <c r="K65" s="49">
        <f t="shared" si="39"/>
        <v>106044.99373000002</v>
      </c>
      <c r="L65" s="49">
        <f t="shared" si="39"/>
        <v>137858.49184900001</v>
      </c>
      <c r="M65" s="49">
        <f t="shared" si="39"/>
        <v>179216.03940370004</v>
      </c>
      <c r="N65" s="49">
        <f t="shared" si="39"/>
        <v>232980.85122481006</v>
      </c>
      <c r="O65" s="49">
        <f t="shared" si="39"/>
        <v>302875.10659225308</v>
      </c>
      <c r="P65" s="49">
        <f t="shared" si="39"/>
        <v>393737.638569929</v>
      </c>
      <c r="Q65" s="49">
        <f t="shared" si="39"/>
        <v>511858.9301409077</v>
      </c>
      <c r="R65" s="49">
        <f t="shared" si="39"/>
        <v>665416.60918318003</v>
      </c>
      <c r="S65" s="49">
        <f t="shared" si="39"/>
        <v>865041.59193813405</v>
      </c>
      <c r="T65" t="s">
        <v>163</v>
      </c>
    </row>
  </sheetData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5"/>
  <sheetViews>
    <sheetView showGridLines="0" zoomScale="70" zoomScaleNormal="70" workbookViewId="0">
      <selection activeCell="J12" sqref="J12"/>
    </sheetView>
  </sheetViews>
  <sheetFormatPr defaultColWidth="8.54296875" defaultRowHeight="14.5" x14ac:dyDescent="0.35"/>
  <cols>
    <col min="1" max="1" width="28.7265625" customWidth="1"/>
    <col min="2" max="4" width="11.7265625" customWidth="1"/>
    <col min="5" max="5" width="12.54296875" customWidth="1"/>
    <col min="6" max="7" width="12.7265625" customWidth="1"/>
    <col min="8" max="11" width="13.26953125" customWidth="1"/>
    <col min="12" max="19" width="14.26953125" customWidth="1"/>
    <col min="20" max="20" width="9.81640625" customWidth="1"/>
  </cols>
  <sheetData>
    <row r="1" spans="1:20" ht="14.25" customHeight="1" x14ac:dyDescent="0.35">
      <c r="B1" s="47">
        <v>2025</v>
      </c>
      <c r="C1" s="47">
        <v>2026</v>
      </c>
      <c r="D1" s="47">
        <f t="shared" ref="D1:S1" si="0">C1+1</f>
        <v>2027</v>
      </c>
      <c r="E1" s="47">
        <f t="shared" si="0"/>
        <v>2028</v>
      </c>
      <c r="F1" s="47">
        <f t="shared" si="0"/>
        <v>2029</v>
      </c>
      <c r="G1" s="47">
        <f t="shared" si="0"/>
        <v>2030</v>
      </c>
      <c r="H1" s="47">
        <f t="shared" si="0"/>
        <v>2031</v>
      </c>
      <c r="I1" s="47">
        <f t="shared" si="0"/>
        <v>2032</v>
      </c>
      <c r="J1" s="47">
        <f t="shared" si="0"/>
        <v>2033</v>
      </c>
      <c r="K1" s="47">
        <f t="shared" si="0"/>
        <v>2034</v>
      </c>
      <c r="L1" s="47">
        <f t="shared" si="0"/>
        <v>2035</v>
      </c>
      <c r="M1" s="47">
        <f t="shared" si="0"/>
        <v>2036</v>
      </c>
      <c r="N1" s="47">
        <f t="shared" si="0"/>
        <v>2037</v>
      </c>
      <c r="O1" s="47">
        <f t="shared" si="0"/>
        <v>2038</v>
      </c>
      <c r="P1" s="47">
        <f t="shared" si="0"/>
        <v>2039</v>
      </c>
      <c r="Q1" s="47">
        <f t="shared" si="0"/>
        <v>2040</v>
      </c>
      <c r="R1" s="47">
        <f t="shared" si="0"/>
        <v>2041</v>
      </c>
      <c r="S1" s="47">
        <f t="shared" si="0"/>
        <v>2042</v>
      </c>
      <c r="T1" s="47" t="s">
        <v>116</v>
      </c>
    </row>
    <row r="2" spans="1:20" ht="14.25" customHeight="1" x14ac:dyDescent="0.35">
      <c r="A2" t="s">
        <v>117</v>
      </c>
      <c r="B2" s="50">
        <v>900</v>
      </c>
      <c r="C2" s="49">
        <f>B2*1.3</f>
        <v>1170</v>
      </c>
      <c r="D2" s="49">
        <f>C2*1.3</f>
        <v>1521</v>
      </c>
      <c r="E2" s="49">
        <f>D2*1.25</f>
        <v>1901.25</v>
      </c>
      <c r="F2" s="49">
        <f>E2*1.25</f>
        <v>2376.5625</v>
      </c>
      <c r="G2" s="49">
        <f>F2*1.25</f>
        <v>2970.703125</v>
      </c>
      <c r="H2" s="49">
        <f>G2*1.2</f>
        <v>3564.84375</v>
      </c>
      <c r="I2" s="50">
        <f>I3*I4</f>
        <v>3851.0919084134021</v>
      </c>
      <c r="J2" s="50">
        <f t="shared" ref="J2:S2" si="1">I2*1.1</f>
        <v>4236.201099254743</v>
      </c>
      <c r="K2" s="50">
        <f t="shared" si="1"/>
        <v>4659.8212091802179</v>
      </c>
      <c r="L2" s="50">
        <f t="shared" si="1"/>
        <v>5125.8033300982397</v>
      </c>
      <c r="M2" s="50">
        <f t="shared" si="1"/>
        <v>5638.383663108064</v>
      </c>
      <c r="N2" s="50">
        <f t="shared" si="1"/>
        <v>6202.222029418871</v>
      </c>
      <c r="O2" s="50">
        <f t="shared" si="1"/>
        <v>6822.4442323607591</v>
      </c>
      <c r="P2" s="50">
        <f t="shared" si="1"/>
        <v>7504.6886555968358</v>
      </c>
      <c r="Q2" s="50">
        <f t="shared" si="1"/>
        <v>8255.1575211565196</v>
      </c>
      <c r="R2" s="50">
        <f t="shared" si="1"/>
        <v>9080.6732732721721</v>
      </c>
      <c r="S2" s="50">
        <f t="shared" si="1"/>
        <v>9988.7406005993907</v>
      </c>
    </row>
    <row r="3" spans="1:20" ht="14.25" customHeight="1" x14ac:dyDescent="0.35">
      <c r="A3" t="s">
        <v>118</v>
      </c>
      <c r="B3" s="51">
        <f t="shared" ref="B3:H3" si="2">B2/B4</f>
        <v>0.15</v>
      </c>
      <c r="C3" s="51">
        <f t="shared" si="2"/>
        <v>0.1875</v>
      </c>
      <c r="D3" s="51">
        <f t="shared" si="2"/>
        <v>0.234375</v>
      </c>
      <c r="E3" s="51">
        <f t="shared" si="2"/>
        <v>0.2872242647058823</v>
      </c>
      <c r="F3" s="51">
        <f t="shared" si="2"/>
        <v>0.35199052047289497</v>
      </c>
      <c r="G3" s="51">
        <f t="shared" si="2"/>
        <v>0.43136093195207714</v>
      </c>
      <c r="H3" s="51">
        <f t="shared" si="2"/>
        <v>0.50748344935538492</v>
      </c>
      <c r="I3" s="52">
        <f>H3+0.03</f>
        <v>0.53748344935538495</v>
      </c>
      <c r="J3" s="52">
        <f>I3+0.03</f>
        <v>0.56748344935538497</v>
      </c>
      <c r="K3" s="52">
        <f>J3+0.03</f>
        <v>0.597483449355385</v>
      </c>
      <c r="L3" s="52">
        <f>K3+0.03</f>
        <v>0.62748344935538503</v>
      </c>
      <c r="M3" s="52">
        <f>L3+0.03</f>
        <v>0.65748344935538505</v>
      </c>
      <c r="N3" s="52">
        <f t="shared" ref="N3:S3" si="3">M3+0.01</f>
        <v>0.66748344935538506</v>
      </c>
      <c r="O3" s="52">
        <f t="shared" si="3"/>
        <v>0.67748344935538507</v>
      </c>
      <c r="P3" s="52">
        <f t="shared" si="3"/>
        <v>0.68748344935538508</v>
      </c>
      <c r="Q3" s="52">
        <f t="shared" si="3"/>
        <v>0.69748344935538509</v>
      </c>
      <c r="R3" s="52">
        <f t="shared" si="3"/>
        <v>0.7074834493553851</v>
      </c>
      <c r="S3" s="52">
        <f t="shared" si="3"/>
        <v>0.71748344935538511</v>
      </c>
    </row>
    <row r="4" spans="1:20" ht="14.25" customHeight="1" x14ac:dyDescent="0.35">
      <c r="A4" t="s">
        <v>119</v>
      </c>
      <c r="B4">
        <v>6000</v>
      </c>
      <c r="C4" s="50">
        <f>B4*1.04</f>
        <v>6240</v>
      </c>
      <c r="D4" s="50">
        <f>C4*1.04</f>
        <v>6489.6</v>
      </c>
      <c r="E4" s="50">
        <f t="shared" ref="E4:S4" si="4">D4*1.02</f>
        <v>6619.3920000000007</v>
      </c>
      <c r="F4" s="50">
        <f t="shared" si="4"/>
        <v>6751.7798400000011</v>
      </c>
      <c r="G4" s="50">
        <f t="shared" si="4"/>
        <v>6886.8154368000014</v>
      </c>
      <c r="H4" s="50">
        <f t="shared" si="4"/>
        <v>7024.5517455360014</v>
      </c>
      <c r="I4" s="50">
        <f t="shared" si="4"/>
        <v>7165.0427804467217</v>
      </c>
      <c r="J4" s="50">
        <f t="shared" si="4"/>
        <v>7308.3436360556561</v>
      </c>
      <c r="K4" s="50">
        <f t="shared" si="4"/>
        <v>7454.5105087767697</v>
      </c>
      <c r="L4" s="50">
        <f t="shared" si="4"/>
        <v>7603.6007189523052</v>
      </c>
      <c r="M4" s="50">
        <f t="shared" si="4"/>
        <v>7755.6727333313511</v>
      </c>
      <c r="N4" s="50">
        <f t="shared" si="4"/>
        <v>7910.7861879979782</v>
      </c>
      <c r="O4" s="50">
        <f t="shared" si="4"/>
        <v>8069.0019117579377</v>
      </c>
      <c r="P4" s="50">
        <f t="shared" si="4"/>
        <v>8230.381949993096</v>
      </c>
      <c r="Q4" s="50">
        <f t="shared" si="4"/>
        <v>8394.9895889929576</v>
      </c>
      <c r="R4" s="50">
        <f t="shared" si="4"/>
        <v>8562.8893807728164</v>
      </c>
      <c r="S4" s="50">
        <f t="shared" si="4"/>
        <v>8734.1471683882737</v>
      </c>
    </row>
    <row r="5" spans="1:20" ht="14.25" customHeight="1" x14ac:dyDescent="0.35">
      <c r="A5" t="s">
        <v>120</v>
      </c>
      <c r="B5" s="50">
        <f>C5*0.99</f>
        <v>8217</v>
      </c>
      <c r="C5" s="50">
        <v>8300</v>
      </c>
      <c r="D5" s="50">
        <f>C5*1.008</f>
        <v>8366.4</v>
      </c>
      <c r="E5" s="50">
        <f>D5*1.008</f>
        <v>8433.3312000000005</v>
      </c>
      <c r="F5" s="50">
        <f>E5*1.008</f>
        <v>8500.7978496000014</v>
      </c>
      <c r="G5" s="50">
        <f>F5*1.008</f>
        <v>8568.804232396802</v>
      </c>
      <c r="H5" s="50">
        <f>G5*1.007</f>
        <v>8628.7858620235784</v>
      </c>
      <c r="I5" s="50">
        <f>H5*1.007</f>
        <v>8689.1873630577429</v>
      </c>
      <c r="J5" s="50">
        <f>I5*1.007</f>
        <v>8750.0116745991454</v>
      </c>
      <c r="K5" s="50">
        <f t="shared" ref="K5:S5" si="5">J5*1.006</f>
        <v>8802.5117446467411</v>
      </c>
      <c r="L5" s="50">
        <f t="shared" si="5"/>
        <v>8855.3268151146221</v>
      </c>
      <c r="M5" s="50">
        <f t="shared" si="5"/>
        <v>8908.4587760053091</v>
      </c>
      <c r="N5" s="50">
        <f t="shared" si="5"/>
        <v>8961.909528661341</v>
      </c>
      <c r="O5" s="50">
        <f t="shared" si="5"/>
        <v>9015.680985833309</v>
      </c>
      <c r="P5" s="50">
        <f t="shared" si="5"/>
        <v>9069.7750717483086</v>
      </c>
      <c r="Q5" s="50">
        <f t="shared" si="5"/>
        <v>9124.1937221787994</v>
      </c>
      <c r="R5" s="50">
        <f t="shared" si="5"/>
        <v>9178.9388845118719</v>
      </c>
      <c r="S5" s="50">
        <f t="shared" si="5"/>
        <v>9234.0125178189428</v>
      </c>
    </row>
    <row r="7" spans="1:20" s="47" customFormat="1" ht="14.25" customHeight="1" x14ac:dyDescent="0.35">
      <c r="A7" s="53" t="s">
        <v>121</v>
      </c>
      <c r="B7" s="48">
        <f t="shared" ref="B7:S7" si="6">SUM(B9:B11)</f>
        <v>53.462199999999996</v>
      </c>
      <c r="C7" s="48">
        <f t="shared" si="6"/>
        <v>88.185622500000008</v>
      </c>
      <c r="D7" s="48">
        <f t="shared" si="6"/>
        <v>140.46142652650002</v>
      </c>
      <c r="E7" s="48">
        <f t="shared" si="6"/>
        <v>215.95072755808025</v>
      </c>
      <c r="F7" s="48">
        <f t="shared" si="6"/>
        <v>320.86371195065453</v>
      </c>
      <c r="G7" s="48">
        <f t="shared" si="6"/>
        <v>462.82033882546398</v>
      </c>
      <c r="H7" s="48">
        <f t="shared" si="6"/>
        <v>637.89528171858615</v>
      </c>
      <c r="I7" s="48">
        <f t="shared" si="6"/>
        <v>802.88864952014319</v>
      </c>
      <c r="J7" s="48">
        <f t="shared" si="6"/>
        <v>1001.761045431027</v>
      </c>
      <c r="K7" s="48">
        <f t="shared" si="6"/>
        <v>1265.8886057638772</v>
      </c>
      <c r="L7" s="48">
        <f t="shared" si="6"/>
        <v>1614.5283048846802</v>
      </c>
      <c r="M7" s="48">
        <f t="shared" si="6"/>
        <v>2039.5690506526516</v>
      </c>
      <c r="N7" s="48">
        <f t="shared" si="6"/>
        <v>2558.9246785066293</v>
      </c>
      <c r="O7" s="48">
        <f t="shared" si="6"/>
        <v>3185.4043620512562</v>
      </c>
      <c r="P7" s="48">
        <f t="shared" si="6"/>
        <v>3981.6774706566175</v>
      </c>
      <c r="Q7" s="48">
        <f t="shared" si="6"/>
        <v>4505.802458844124</v>
      </c>
      <c r="R7" s="48">
        <f t="shared" si="6"/>
        <v>5110.155985382522</v>
      </c>
      <c r="S7" s="48">
        <f t="shared" si="6"/>
        <v>5812.9959192295819</v>
      </c>
      <c r="T7" s="53">
        <f>(M7/B7)^0.1-1</f>
        <v>0.43929281932855613</v>
      </c>
    </row>
    <row r="8" spans="1:20" s="47" customFormat="1" ht="14.25" customHeight="1" x14ac:dyDescent="0.35">
      <c r="A8" s="53"/>
      <c r="B8" s="48"/>
      <c r="C8" s="55">
        <f t="shared" ref="C8:S8" si="7">C7/B7-1</f>
        <v>0.64949482999203201</v>
      </c>
      <c r="D8" s="55">
        <f t="shared" si="7"/>
        <v>0.5927928220555454</v>
      </c>
      <c r="E8" s="55">
        <f t="shared" si="7"/>
        <v>0.53743794932438704</v>
      </c>
      <c r="F8" s="55">
        <f t="shared" si="7"/>
        <v>0.48581908280145902</v>
      </c>
      <c r="G8" s="55">
        <f t="shared" si="7"/>
        <v>0.44242032235992101</v>
      </c>
      <c r="H8" s="56">
        <f t="shared" si="7"/>
        <v>0.37827841217484903</v>
      </c>
      <c r="I8" s="56">
        <f t="shared" si="7"/>
        <v>0.25865274839004915</v>
      </c>
      <c r="J8" s="56">
        <f t="shared" si="7"/>
        <v>0.24769611082401344</v>
      </c>
      <c r="K8" s="56">
        <f t="shared" si="7"/>
        <v>0.26366323739330899</v>
      </c>
      <c r="L8" s="56">
        <f t="shared" si="7"/>
        <v>0.27541104132967753</v>
      </c>
      <c r="M8" s="56">
        <f t="shared" si="7"/>
        <v>0.26326001500378182</v>
      </c>
      <c r="N8" s="56">
        <f t="shared" si="7"/>
        <v>0.25463988467945553</v>
      </c>
      <c r="O8" s="56">
        <f t="shared" si="7"/>
        <v>0.24482146301790952</v>
      </c>
      <c r="P8" s="56">
        <f t="shared" si="7"/>
        <v>0.24997551899269621</v>
      </c>
      <c r="Q8" s="56">
        <f t="shared" si="7"/>
        <v>0.13163421498855676</v>
      </c>
      <c r="R8" s="56">
        <f t="shared" si="7"/>
        <v>0.13412783451084387</v>
      </c>
      <c r="S8" s="56">
        <f t="shared" si="7"/>
        <v>0.13753786300408777</v>
      </c>
      <c r="T8" s="53"/>
    </row>
    <row r="9" spans="1:20" ht="14.25" customHeight="1" x14ac:dyDescent="0.35">
      <c r="A9" s="57" t="s">
        <v>122</v>
      </c>
      <c r="B9" s="58">
        <f t="shared" ref="B9:S9" si="8">B22</f>
        <v>26.549999999999997</v>
      </c>
      <c r="C9" s="58">
        <f t="shared" si="8"/>
        <v>44.840249999999997</v>
      </c>
      <c r="D9" s="58">
        <f t="shared" si="8"/>
        <v>72.945258750000008</v>
      </c>
      <c r="E9" s="58">
        <f t="shared" si="8"/>
        <v>118.02511423828129</v>
      </c>
      <c r="F9" s="58">
        <f t="shared" si="8"/>
        <v>184.15631898193368</v>
      </c>
      <c r="G9" s="58">
        <f t="shared" si="8"/>
        <v>280.09363662803668</v>
      </c>
      <c r="H9" s="58">
        <f t="shared" si="8"/>
        <v>401.28745178627952</v>
      </c>
      <c r="I9" s="58">
        <f t="shared" si="8"/>
        <v>510.05142602105917</v>
      </c>
      <c r="J9" s="58">
        <f t="shared" si="8"/>
        <v>652.47973060199956</v>
      </c>
      <c r="K9" s="58">
        <f t="shared" si="8"/>
        <v>849.93934288716821</v>
      </c>
      <c r="L9" s="58">
        <f t="shared" si="8"/>
        <v>1106.2946390567299</v>
      </c>
      <c r="M9" s="58">
        <f t="shared" si="8"/>
        <v>1421.7002843259913</v>
      </c>
      <c r="N9" s="58">
        <f t="shared" si="8"/>
        <v>1808.3029509253863</v>
      </c>
      <c r="O9" s="58">
        <f t="shared" si="8"/>
        <v>2280.5960948396614</v>
      </c>
      <c r="P9" s="58">
        <f t="shared" si="8"/>
        <v>2884.8023192114238</v>
      </c>
      <c r="Q9" s="58">
        <f t="shared" si="8"/>
        <v>3173.2825511325659</v>
      </c>
      <c r="R9" s="58">
        <f t="shared" si="8"/>
        <v>3490.6108062458229</v>
      </c>
      <c r="S9" s="58">
        <f t="shared" si="8"/>
        <v>3839.6718868704056</v>
      </c>
      <c r="T9" s="51">
        <f>(S9/B9)^(1/17)-1</f>
        <v>0.33989981988626927</v>
      </c>
    </row>
    <row r="10" spans="1:20" ht="14.25" customHeight="1" x14ac:dyDescent="0.35">
      <c r="A10" s="57" t="s">
        <v>123</v>
      </c>
      <c r="B10" s="58">
        <f t="shared" ref="B10:S10" si="9">B38</f>
        <v>26.549999999999997</v>
      </c>
      <c r="C10" s="58">
        <f t="shared" si="9"/>
        <v>42.770722500000005</v>
      </c>
      <c r="D10" s="58">
        <f t="shared" si="9"/>
        <v>66.525581776500005</v>
      </c>
      <c r="E10" s="58">
        <f t="shared" si="9"/>
        <v>96.082897759798982</v>
      </c>
      <c r="F10" s="58">
        <f t="shared" si="9"/>
        <v>133.43512426392084</v>
      </c>
      <c r="G10" s="58">
        <f t="shared" si="9"/>
        <v>177.8957076686593</v>
      </c>
      <c r="H10" s="58">
        <f t="shared" si="9"/>
        <v>227.28845090286254</v>
      </c>
      <c r="I10" s="58">
        <f t="shared" si="9"/>
        <v>277.7692158483884</v>
      </c>
      <c r="J10" s="58">
        <f t="shared" si="9"/>
        <v>324.03167874793752</v>
      </c>
      <c r="K10" s="58">
        <f t="shared" si="9"/>
        <v>377.99915484340653</v>
      </c>
      <c r="L10" s="58">
        <f t="shared" si="9"/>
        <v>440.9549140825759</v>
      </c>
      <c r="M10" s="58">
        <f t="shared" si="9"/>
        <v>514.39595502302893</v>
      </c>
      <c r="N10" s="58">
        <f t="shared" si="9"/>
        <v>600.06860133211455</v>
      </c>
      <c r="O10" s="58">
        <f t="shared" si="9"/>
        <v>700.0100268839783</v>
      </c>
      <c r="P10" s="58">
        <f t="shared" si="9"/>
        <v>816.59669686150505</v>
      </c>
      <c r="Q10" s="58">
        <f t="shared" si="9"/>
        <v>952.60087672378882</v>
      </c>
      <c r="R10" s="58">
        <f t="shared" si="9"/>
        <v>1111.2565527421359</v>
      </c>
      <c r="S10" s="58">
        <f t="shared" si="9"/>
        <v>1296.3363316013388</v>
      </c>
      <c r="T10" s="51">
        <f>(S10/B10)^(1/17)-1</f>
        <v>0.25699207407379565</v>
      </c>
    </row>
    <row r="11" spans="1:20" ht="14.25" customHeight="1" x14ac:dyDescent="0.35">
      <c r="A11" s="57" t="s">
        <v>124</v>
      </c>
      <c r="B11" s="58">
        <f t="shared" ref="B11:S11" si="10">B58</f>
        <v>0.36219999999999997</v>
      </c>
      <c r="C11" s="58">
        <f t="shared" si="10"/>
        <v>0.57464999999999999</v>
      </c>
      <c r="D11" s="58">
        <f t="shared" si="10"/>
        <v>0.99058600000000008</v>
      </c>
      <c r="E11" s="58">
        <f t="shared" si="10"/>
        <v>1.8427155600000003</v>
      </c>
      <c r="F11" s="58">
        <f t="shared" si="10"/>
        <v>3.2722687048000001</v>
      </c>
      <c r="G11" s="58">
        <f t="shared" si="10"/>
        <v>4.8309945287680005</v>
      </c>
      <c r="H11" s="58">
        <f t="shared" si="10"/>
        <v>9.3193790294441605</v>
      </c>
      <c r="I11" s="58">
        <f t="shared" si="10"/>
        <v>15.068007650695595</v>
      </c>
      <c r="J11" s="58">
        <f t="shared" si="10"/>
        <v>25.249636081089882</v>
      </c>
      <c r="K11" s="58">
        <f t="shared" si="10"/>
        <v>37.950108033302442</v>
      </c>
      <c r="L11" s="58">
        <f t="shared" si="10"/>
        <v>67.278751745374436</v>
      </c>
      <c r="M11" s="58">
        <f t="shared" si="10"/>
        <v>103.47281130363126</v>
      </c>
      <c r="N11" s="58">
        <f t="shared" si="10"/>
        <v>150.55312624912875</v>
      </c>
      <c r="O11" s="58">
        <f t="shared" si="10"/>
        <v>204.79824032761655</v>
      </c>
      <c r="P11" s="58">
        <f t="shared" si="10"/>
        <v>280.27845458368824</v>
      </c>
      <c r="Q11" s="58">
        <f t="shared" si="10"/>
        <v>379.91903098776976</v>
      </c>
      <c r="R11" s="58">
        <f t="shared" si="10"/>
        <v>508.28862639456293</v>
      </c>
      <c r="S11" s="58">
        <f t="shared" si="10"/>
        <v>676.98770075783727</v>
      </c>
      <c r="T11" s="51">
        <f>(S11/B11)^(1/17)-1</f>
        <v>0.55757497439943693</v>
      </c>
    </row>
    <row r="12" spans="1:20" ht="14.25" customHeight="1" x14ac:dyDescent="0.3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1"/>
    </row>
    <row r="13" spans="1:20" ht="14.25" customHeight="1" x14ac:dyDescent="0.35">
      <c r="A13" s="59" t="s">
        <v>125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1"/>
    </row>
    <row r="14" spans="1:20" ht="14.25" customHeight="1" x14ac:dyDescent="0.35">
      <c r="A14" s="60" t="s">
        <v>122</v>
      </c>
      <c r="B14" s="55">
        <f t="shared" ref="B14:S14" si="11">B9/B$7</f>
        <v>0.49661255990213643</v>
      </c>
      <c r="C14" s="55">
        <f t="shared" si="11"/>
        <v>0.50847574387763717</v>
      </c>
      <c r="D14" s="55">
        <f t="shared" si="11"/>
        <v>0.51932591426613384</v>
      </c>
      <c r="E14" s="55">
        <f t="shared" si="11"/>
        <v>0.54653723825282452</v>
      </c>
      <c r="F14" s="55">
        <f t="shared" si="11"/>
        <v>0.57393937713422383</v>
      </c>
      <c r="G14" s="55">
        <f t="shared" si="11"/>
        <v>0.60518869447019674</v>
      </c>
      <c r="H14" s="55">
        <f t="shared" si="11"/>
        <v>0.62908045142636981</v>
      </c>
      <c r="I14" s="55">
        <f t="shared" si="11"/>
        <v>0.63527044046007874</v>
      </c>
      <c r="J14" s="55">
        <f t="shared" si="11"/>
        <v>0.65133270411933175</v>
      </c>
      <c r="K14" s="55">
        <f t="shared" si="11"/>
        <v>0.67141716815934838</v>
      </c>
      <c r="L14" s="55">
        <f t="shared" si="11"/>
        <v>0.68521229123681948</v>
      </c>
      <c r="M14" s="55">
        <f t="shared" si="11"/>
        <v>0.69705915760540416</v>
      </c>
      <c r="N14" s="55">
        <f t="shared" si="11"/>
        <v>0.70666517311509902</v>
      </c>
      <c r="O14" s="55">
        <f t="shared" si="11"/>
        <v>0.7159518339364177</v>
      </c>
      <c r="P14" s="55">
        <f t="shared" si="11"/>
        <v>0.72451933650358968</v>
      </c>
      <c r="Q14" s="55">
        <f t="shared" si="11"/>
        <v>0.70426579507584752</v>
      </c>
      <c r="R14" s="55">
        <f t="shared" si="11"/>
        <v>0.68307324007929127</v>
      </c>
      <c r="S14" s="55">
        <f t="shared" si="11"/>
        <v>0.6605323554707212</v>
      </c>
      <c r="T14" s="51"/>
    </row>
    <row r="15" spans="1:20" ht="14.25" customHeight="1" x14ac:dyDescent="0.35">
      <c r="A15" s="60" t="s">
        <v>123</v>
      </c>
      <c r="B15" s="55">
        <f t="shared" ref="B15:S15" si="12">B10/B$7</f>
        <v>0.49661255990213643</v>
      </c>
      <c r="C15" s="55">
        <f t="shared" si="12"/>
        <v>0.48500788776537812</v>
      </c>
      <c r="D15" s="55">
        <f t="shared" si="12"/>
        <v>0.47362171538211612</v>
      </c>
      <c r="E15" s="55">
        <f t="shared" si="12"/>
        <v>0.4449297246935987</v>
      </c>
      <c r="F15" s="55">
        <f t="shared" si="12"/>
        <v>0.41586230942949937</v>
      </c>
      <c r="G15" s="55">
        <f t="shared" si="12"/>
        <v>0.38437314168197406</v>
      </c>
      <c r="H15" s="55">
        <f t="shared" si="12"/>
        <v>0.35630997346541449</v>
      </c>
      <c r="I15" s="55">
        <f t="shared" si="12"/>
        <v>0.34596231496659069</v>
      </c>
      <c r="J15" s="55">
        <f t="shared" si="12"/>
        <v>0.32346204738727552</v>
      </c>
      <c r="K15" s="55">
        <f t="shared" si="12"/>
        <v>0.29860380536035386</v>
      </c>
      <c r="L15" s="55">
        <f t="shared" si="12"/>
        <v>0.27311686809607943</v>
      </c>
      <c r="M15" s="55">
        <f t="shared" si="12"/>
        <v>0.25220815880610897</v>
      </c>
      <c r="N15" s="55">
        <f t="shared" si="12"/>
        <v>0.23450029864978691</v>
      </c>
      <c r="O15" s="55">
        <f t="shared" si="12"/>
        <v>0.21975546816706296</v>
      </c>
      <c r="P15" s="55">
        <f t="shared" si="12"/>
        <v>0.20508860973283211</v>
      </c>
      <c r="Q15" s="55">
        <f t="shared" si="12"/>
        <v>0.21141647584971135</v>
      </c>
      <c r="R15" s="55">
        <f t="shared" si="12"/>
        <v>0.21746039767100231</v>
      </c>
      <c r="S15" s="55">
        <f t="shared" si="12"/>
        <v>0.22300657864097503</v>
      </c>
    </row>
    <row r="16" spans="1:20" ht="14.25" customHeight="1" x14ac:dyDescent="0.35">
      <c r="A16" s="60" t="s">
        <v>124</v>
      </c>
      <c r="B16" s="55">
        <f t="shared" ref="B16:S16" si="13">B11/B$7</f>
        <v>6.7748801957270748E-3</v>
      </c>
      <c r="C16" s="55">
        <f t="shared" si="13"/>
        <v>6.516368356984722E-3</v>
      </c>
      <c r="D16" s="55">
        <f t="shared" si="13"/>
        <v>7.0523703517500029E-3</v>
      </c>
      <c r="E16" s="55">
        <f t="shared" si="13"/>
        <v>8.5330370535769522E-3</v>
      </c>
      <c r="F16" s="55">
        <f t="shared" si="13"/>
        <v>1.0198313436276772E-2</v>
      </c>
      <c r="G16" s="55">
        <f t="shared" si="13"/>
        <v>1.043816384782916E-2</v>
      </c>
      <c r="H16" s="55">
        <f t="shared" si="13"/>
        <v>1.4609575108215799E-2</v>
      </c>
      <c r="I16" s="55">
        <f t="shared" si="13"/>
        <v>1.8767244573330542E-2</v>
      </c>
      <c r="J16" s="55">
        <f t="shared" si="13"/>
        <v>2.5205248493392691E-2</v>
      </c>
      <c r="K16" s="55">
        <f t="shared" si="13"/>
        <v>2.9979026480297724E-2</v>
      </c>
      <c r="L16" s="55">
        <f t="shared" si="13"/>
        <v>4.167084066710116E-2</v>
      </c>
      <c r="M16" s="55">
        <f t="shared" si="13"/>
        <v>5.0732683588486739E-2</v>
      </c>
      <c r="N16" s="55">
        <f t="shared" si="13"/>
        <v>5.8834528235114175E-2</v>
      </c>
      <c r="O16" s="55">
        <f t="shared" si="13"/>
        <v>6.429269789651941E-2</v>
      </c>
      <c r="P16" s="55">
        <f t="shared" si="13"/>
        <v>7.0392053763578086E-2</v>
      </c>
      <c r="Q16" s="55">
        <f t="shared" si="13"/>
        <v>8.4317729074441183E-2</v>
      </c>
      <c r="R16" s="55">
        <f t="shared" si="13"/>
        <v>9.9466362249706328E-2</v>
      </c>
      <c r="S16" s="55">
        <f t="shared" si="13"/>
        <v>0.11646106588830377</v>
      </c>
    </row>
    <row r="18" spans="1:20" ht="23.25" customHeight="1" x14ac:dyDescent="0.55000000000000004">
      <c r="A18" s="61" t="s">
        <v>122</v>
      </c>
    </row>
    <row r="19" spans="1:20" ht="14.25" customHeight="1" x14ac:dyDescent="0.35">
      <c r="A19" s="47" t="s">
        <v>126</v>
      </c>
      <c r="B19" s="48">
        <f t="shared" ref="B19:S19" si="14">(B22+B38)*365</f>
        <v>19381.499999999996</v>
      </c>
      <c r="C19" s="48">
        <f t="shared" si="14"/>
        <v>31978.004962499999</v>
      </c>
      <c r="D19" s="48">
        <f t="shared" si="14"/>
        <v>50906.856792172504</v>
      </c>
      <c r="E19" s="48">
        <f t="shared" si="14"/>
        <v>78149.424379299293</v>
      </c>
      <c r="F19" s="48">
        <f t="shared" si="14"/>
        <v>115920.8767847369</v>
      </c>
      <c r="G19" s="48">
        <f t="shared" si="14"/>
        <v>167166.11066829404</v>
      </c>
      <c r="H19" s="48">
        <f t="shared" si="14"/>
        <v>229430.20448153684</v>
      </c>
      <c r="I19" s="48">
        <f t="shared" si="14"/>
        <v>287554.53428234841</v>
      </c>
      <c r="J19" s="48">
        <f t="shared" si="14"/>
        <v>356426.66441272706</v>
      </c>
      <c r="K19" s="48">
        <f t="shared" si="14"/>
        <v>448197.55167165975</v>
      </c>
      <c r="L19" s="48">
        <f t="shared" si="14"/>
        <v>564746.08689584665</v>
      </c>
      <c r="M19" s="48">
        <f t="shared" si="14"/>
        <v>706675.12736239249</v>
      </c>
      <c r="N19" s="48">
        <f t="shared" si="14"/>
        <v>879055.61657398776</v>
      </c>
      <c r="O19" s="48">
        <f t="shared" si="14"/>
        <v>1087921.2344291285</v>
      </c>
      <c r="P19" s="48">
        <f t="shared" si="14"/>
        <v>1351010.6408666191</v>
      </c>
      <c r="Q19" s="48">
        <f t="shared" si="14"/>
        <v>1505947.4511675695</v>
      </c>
      <c r="R19" s="48">
        <f t="shared" si="14"/>
        <v>1679681.586030605</v>
      </c>
      <c r="S19" s="48">
        <f t="shared" si="14"/>
        <v>1874642.9997421869</v>
      </c>
      <c r="T19" s="47" t="s">
        <v>127</v>
      </c>
    </row>
    <row r="20" spans="1:20" s="51" customFormat="1" ht="14.25" customHeight="1" x14ac:dyDescent="0.35">
      <c r="A20" s="51" t="s">
        <v>128</v>
      </c>
      <c r="C20" s="51">
        <f t="shared" ref="C20:S20" si="15">C19/B19-1</f>
        <v>0.64992415254237312</v>
      </c>
      <c r="D20" s="51">
        <f t="shared" si="15"/>
        <v>0.5919334821503095</v>
      </c>
      <c r="E20" s="51">
        <f t="shared" si="15"/>
        <v>0.53514534787218748</v>
      </c>
      <c r="F20" s="51">
        <f t="shared" si="15"/>
        <v>0.48332348837418615</v>
      </c>
      <c r="G20" s="51">
        <f t="shared" si="15"/>
        <v>0.44207079263831539</v>
      </c>
      <c r="H20" s="52">
        <f t="shared" si="15"/>
        <v>0.37246840022971384</v>
      </c>
      <c r="I20" s="52">
        <f t="shared" si="15"/>
        <v>0.25334209997397727</v>
      </c>
      <c r="J20" s="52">
        <f t="shared" si="15"/>
        <v>0.2395098039481911</v>
      </c>
      <c r="K20" s="52">
        <f t="shared" si="15"/>
        <v>0.25747480876645601</v>
      </c>
      <c r="L20" s="52">
        <f t="shared" si="15"/>
        <v>0.26003831299276703</v>
      </c>
      <c r="M20" s="52">
        <f t="shared" si="15"/>
        <v>0.25131478333327717</v>
      </c>
      <c r="N20" s="52">
        <f t="shared" si="15"/>
        <v>0.24393173402747514</v>
      </c>
      <c r="O20" s="52">
        <f t="shared" si="15"/>
        <v>0.23760227898795416</v>
      </c>
      <c r="P20" s="52">
        <f t="shared" si="15"/>
        <v>0.24182762327967899</v>
      </c>
      <c r="Q20" s="52">
        <f t="shared" si="15"/>
        <v>0.11468215394777692</v>
      </c>
      <c r="R20" s="52">
        <f t="shared" si="15"/>
        <v>0.1153653367707741</v>
      </c>
      <c r="S20" s="52">
        <f t="shared" si="15"/>
        <v>0.11607045962342855</v>
      </c>
      <c r="T20" s="53">
        <f>(M19/B19)^0.1-1</f>
        <v>0.43279231034307997</v>
      </c>
    </row>
    <row r="21" spans="1:20" ht="14.25" customHeight="1" x14ac:dyDescent="0.35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22" spans="1:20" ht="14.25" customHeight="1" x14ac:dyDescent="0.35">
      <c r="A22" s="47" t="s">
        <v>129</v>
      </c>
      <c r="B22" s="62">
        <f t="shared" ref="B22:S22" si="16">B23*((B2))*0.000001</f>
        <v>26.549999999999997</v>
      </c>
      <c r="C22" s="62">
        <f t="shared" si="16"/>
        <v>44.840249999999997</v>
      </c>
      <c r="D22" s="62">
        <f t="shared" si="16"/>
        <v>72.945258750000008</v>
      </c>
      <c r="E22" s="62">
        <f t="shared" si="16"/>
        <v>118.02511423828129</v>
      </c>
      <c r="F22" s="62">
        <f t="shared" si="16"/>
        <v>184.15631898193368</v>
      </c>
      <c r="G22" s="62">
        <f t="shared" si="16"/>
        <v>280.09363662803668</v>
      </c>
      <c r="H22" s="62">
        <f t="shared" si="16"/>
        <v>401.28745178627952</v>
      </c>
      <c r="I22" s="62">
        <f t="shared" si="16"/>
        <v>510.05142602105917</v>
      </c>
      <c r="J22" s="62">
        <f t="shared" si="16"/>
        <v>652.47973060199956</v>
      </c>
      <c r="K22" s="62">
        <f t="shared" si="16"/>
        <v>849.93934288716821</v>
      </c>
      <c r="L22" s="62">
        <f t="shared" si="16"/>
        <v>1106.2946390567299</v>
      </c>
      <c r="M22" s="62">
        <f t="shared" si="16"/>
        <v>1421.7002843259913</v>
      </c>
      <c r="N22" s="62">
        <f t="shared" si="16"/>
        <v>1808.3029509253863</v>
      </c>
      <c r="O22" s="62">
        <f t="shared" si="16"/>
        <v>2280.5960948396614</v>
      </c>
      <c r="P22" s="62">
        <f t="shared" si="16"/>
        <v>2884.8023192114238</v>
      </c>
      <c r="Q22" s="62">
        <f t="shared" si="16"/>
        <v>3173.2825511325659</v>
      </c>
      <c r="R22" s="62">
        <f t="shared" si="16"/>
        <v>3490.6108062458229</v>
      </c>
      <c r="S22" s="62">
        <f t="shared" si="16"/>
        <v>3839.6718868704056</v>
      </c>
    </row>
    <row r="23" spans="1:20" ht="14.25" customHeight="1" x14ac:dyDescent="0.35">
      <c r="A23" s="59" t="s">
        <v>130</v>
      </c>
      <c r="B23" s="48">
        <f>(SUMPRODUCT(B24:B27,B31:B34))*B28</f>
        <v>29500</v>
      </c>
      <c r="C23" s="48">
        <f t="shared" ref="C23:S23" si="17">SUMPRODUCT(C24:C27,C31:C34)*C28</f>
        <v>38325</v>
      </c>
      <c r="D23" s="48">
        <f t="shared" si="17"/>
        <v>47958.750000000015</v>
      </c>
      <c r="E23" s="48">
        <f t="shared" si="17"/>
        <v>62077.640625000022</v>
      </c>
      <c r="F23" s="48">
        <f t="shared" si="17"/>
        <v>77488.523437500044</v>
      </c>
      <c r="G23" s="48">
        <f t="shared" si="17"/>
        <v>94285.300429687559</v>
      </c>
      <c r="H23" s="48">
        <f t="shared" si="17"/>
        <v>112568.03381250007</v>
      </c>
      <c r="I23" s="48">
        <f t="shared" si="17"/>
        <v>132443.3272825196</v>
      </c>
      <c r="J23" s="48">
        <f t="shared" si="17"/>
        <v>154024.73001500982</v>
      </c>
      <c r="K23" s="48">
        <f t="shared" si="17"/>
        <v>182397.41499367406</v>
      </c>
      <c r="L23" s="48">
        <f t="shared" si="17"/>
        <v>215828.53804801111</v>
      </c>
      <c r="M23" s="48">
        <f t="shared" si="17"/>
        <v>252146.77987029761</v>
      </c>
      <c r="N23" s="48">
        <f t="shared" si="17"/>
        <v>291557.27452969283</v>
      </c>
      <c r="O23" s="48">
        <f t="shared" si="17"/>
        <v>334278.45170535176</v>
      </c>
      <c r="P23" s="48">
        <f t="shared" si="17"/>
        <v>384400</v>
      </c>
      <c r="Q23" s="48">
        <f t="shared" si="17"/>
        <v>384400</v>
      </c>
      <c r="R23" s="48">
        <f t="shared" si="17"/>
        <v>384400</v>
      </c>
      <c r="S23" s="48">
        <f t="shared" si="17"/>
        <v>384400</v>
      </c>
      <c r="T23" s="53">
        <f>(M23/B23)^0.1-1</f>
        <v>0.23931909447813737</v>
      </c>
    </row>
    <row r="24" spans="1:20" ht="14.25" customHeight="1" x14ac:dyDescent="0.35">
      <c r="A24" s="60" t="s">
        <v>131</v>
      </c>
      <c r="B24" s="50">
        <v>1500</v>
      </c>
      <c r="C24" s="50">
        <v>1500</v>
      </c>
      <c r="D24" s="50">
        <v>1500</v>
      </c>
      <c r="E24" s="50">
        <v>1500</v>
      </c>
      <c r="F24" s="50">
        <v>1500</v>
      </c>
      <c r="G24" s="50">
        <v>1500</v>
      </c>
      <c r="H24" s="50">
        <v>1500</v>
      </c>
      <c r="I24" s="50">
        <v>1500</v>
      </c>
      <c r="J24" s="50">
        <v>1500</v>
      </c>
      <c r="K24" s="50">
        <v>1500</v>
      </c>
      <c r="L24" s="50">
        <v>1500</v>
      </c>
      <c r="M24" s="50">
        <v>1500</v>
      </c>
      <c r="N24" s="50">
        <v>1500</v>
      </c>
      <c r="O24" s="50">
        <v>1500</v>
      </c>
      <c r="P24" s="50">
        <v>1500</v>
      </c>
      <c r="Q24" s="50">
        <v>1500</v>
      </c>
      <c r="R24" s="50">
        <v>1500</v>
      </c>
      <c r="S24" s="50">
        <v>1500</v>
      </c>
      <c r="T24" t="s">
        <v>132</v>
      </c>
    </row>
    <row r="25" spans="1:20" ht="14.25" customHeight="1" x14ac:dyDescent="0.35">
      <c r="A25" s="60" t="s">
        <v>133</v>
      </c>
      <c r="B25" s="50">
        <v>15000</v>
      </c>
      <c r="C25" s="50">
        <v>15000</v>
      </c>
      <c r="D25" s="50">
        <v>15000</v>
      </c>
      <c r="E25" s="50">
        <v>15000</v>
      </c>
      <c r="F25" s="50">
        <v>15000</v>
      </c>
      <c r="G25" s="50">
        <v>15000</v>
      </c>
      <c r="H25" s="50">
        <v>15000</v>
      </c>
      <c r="I25" s="50">
        <v>15000</v>
      </c>
      <c r="J25" s="50">
        <v>15000</v>
      </c>
      <c r="K25" s="50">
        <v>15000</v>
      </c>
      <c r="L25" s="50">
        <v>15000</v>
      </c>
      <c r="M25" s="50">
        <v>15000</v>
      </c>
      <c r="N25" s="50">
        <v>15000</v>
      </c>
      <c r="O25" s="50">
        <v>15000</v>
      </c>
      <c r="P25" s="50">
        <v>15000</v>
      </c>
      <c r="Q25" s="50">
        <v>15000</v>
      </c>
      <c r="R25" s="50">
        <v>15000</v>
      </c>
      <c r="S25" s="50">
        <v>15000</v>
      </c>
      <c r="T25" t="s">
        <v>134</v>
      </c>
    </row>
    <row r="26" spans="1:20" ht="14.25" customHeight="1" x14ac:dyDescent="0.35">
      <c r="A26" s="60" t="s">
        <v>135</v>
      </c>
      <c r="B26" s="50">
        <v>175000</v>
      </c>
      <c r="C26" s="50">
        <v>175000</v>
      </c>
      <c r="D26" s="50">
        <v>175000</v>
      </c>
      <c r="E26" s="50">
        <v>175000</v>
      </c>
      <c r="F26" s="50">
        <v>175000</v>
      </c>
      <c r="G26" s="50">
        <v>175000</v>
      </c>
      <c r="H26" s="50">
        <v>175000</v>
      </c>
      <c r="I26" s="50">
        <v>175000</v>
      </c>
      <c r="J26" s="50">
        <v>175000</v>
      </c>
      <c r="K26" s="50">
        <v>175000</v>
      </c>
      <c r="L26" s="50">
        <v>175000</v>
      </c>
      <c r="M26" s="50">
        <v>175000</v>
      </c>
      <c r="N26" s="50">
        <v>175000</v>
      </c>
      <c r="O26" s="50">
        <v>175000</v>
      </c>
      <c r="P26" s="50">
        <v>175000</v>
      </c>
      <c r="Q26" s="50">
        <v>175000</v>
      </c>
      <c r="R26" s="50">
        <v>175000</v>
      </c>
      <c r="S26" s="50">
        <v>175000</v>
      </c>
      <c r="T26" t="s">
        <v>136</v>
      </c>
    </row>
    <row r="27" spans="1:20" ht="14.25" customHeight="1" x14ac:dyDescent="0.35">
      <c r="A27" s="60" t="s">
        <v>137</v>
      </c>
      <c r="B27" s="50">
        <v>800000</v>
      </c>
      <c r="C27" s="50">
        <v>800000</v>
      </c>
      <c r="D27" s="50">
        <v>800000</v>
      </c>
      <c r="E27" s="50">
        <v>800000</v>
      </c>
      <c r="F27" s="50">
        <v>800000</v>
      </c>
      <c r="G27" s="50">
        <v>800000</v>
      </c>
      <c r="H27" s="50">
        <v>800000</v>
      </c>
      <c r="I27" s="50">
        <v>800000</v>
      </c>
      <c r="J27" s="50">
        <v>800000</v>
      </c>
      <c r="K27" s="50">
        <v>800000</v>
      </c>
      <c r="L27" s="50">
        <v>800000</v>
      </c>
      <c r="M27" s="50">
        <v>800000</v>
      </c>
      <c r="N27" s="50">
        <v>800000</v>
      </c>
      <c r="O27" s="50">
        <v>800000</v>
      </c>
      <c r="P27" s="50">
        <v>800000</v>
      </c>
      <c r="Q27" s="50">
        <v>800000</v>
      </c>
      <c r="R27" s="50">
        <v>800000</v>
      </c>
      <c r="S27" s="50">
        <v>800000</v>
      </c>
      <c r="T27" t="s">
        <v>138</v>
      </c>
    </row>
    <row r="28" spans="1:20" ht="14.25" customHeight="1" x14ac:dyDescent="0.35">
      <c r="A28" s="60" t="s">
        <v>139</v>
      </c>
      <c r="B28" s="63">
        <v>1</v>
      </c>
      <c r="C28" s="63">
        <f t="shared" ref="C28:O28" si="18">B28*1.05</f>
        <v>1.05</v>
      </c>
      <c r="D28" s="63">
        <f t="shared" si="18"/>
        <v>1.1025</v>
      </c>
      <c r="E28" s="63">
        <f t="shared" si="18"/>
        <v>1.1576250000000001</v>
      </c>
      <c r="F28" s="63">
        <f t="shared" si="18"/>
        <v>1.2155062500000002</v>
      </c>
      <c r="G28" s="63">
        <f t="shared" si="18"/>
        <v>1.2762815625000004</v>
      </c>
      <c r="H28" s="63">
        <f t="shared" si="18"/>
        <v>1.3400956406250004</v>
      </c>
      <c r="I28" s="63">
        <f t="shared" si="18"/>
        <v>1.4071004226562505</v>
      </c>
      <c r="J28" s="63">
        <f t="shared" si="18"/>
        <v>1.477455443789063</v>
      </c>
      <c r="K28" s="63">
        <f t="shared" si="18"/>
        <v>1.5513282159785162</v>
      </c>
      <c r="L28" s="63">
        <f t="shared" si="18"/>
        <v>1.628894626777442</v>
      </c>
      <c r="M28" s="63">
        <f t="shared" si="18"/>
        <v>1.7103393581163142</v>
      </c>
      <c r="N28" s="63">
        <f t="shared" si="18"/>
        <v>1.7958563260221301</v>
      </c>
      <c r="O28" s="63">
        <f t="shared" si="18"/>
        <v>1.8856491423232367</v>
      </c>
      <c r="P28" s="63">
        <v>2</v>
      </c>
      <c r="Q28" s="63">
        <v>2</v>
      </c>
      <c r="R28" s="63">
        <v>2</v>
      </c>
      <c r="S28" s="63">
        <v>2</v>
      </c>
      <c r="T28" t="s">
        <v>140</v>
      </c>
    </row>
    <row r="30" spans="1:20" ht="14.25" customHeight="1" x14ac:dyDescent="0.35">
      <c r="A30" s="57" t="s">
        <v>125</v>
      </c>
    </row>
    <row r="31" spans="1:20" ht="14.25" customHeight="1" x14ac:dyDescent="0.35">
      <c r="A31" s="60" t="s">
        <v>131</v>
      </c>
      <c r="B31" s="51">
        <v>0.8</v>
      </c>
      <c r="C31" s="52">
        <f t="shared" ref="C31:O31" si="19">B31-0.05</f>
        <v>0.75</v>
      </c>
      <c r="D31" s="52">
        <f t="shared" si="19"/>
        <v>0.7</v>
      </c>
      <c r="E31" s="52">
        <f t="shared" si="19"/>
        <v>0.64999999999999991</v>
      </c>
      <c r="F31" s="52">
        <f t="shared" si="19"/>
        <v>0.59999999999999987</v>
      </c>
      <c r="G31" s="52">
        <f t="shared" si="19"/>
        <v>0.54999999999999982</v>
      </c>
      <c r="H31" s="52">
        <f t="shared" si="19"/>
        <v>0.49999999999999983</v>
      </c>
      <c r="I31" s="52">
        <f t="shared" si="19"/>
        <v>0.44999999999999984</v>
      </c>
      <c r="J31" s="52">
        <f t="shared" si="19"/>
        <v>0.39999999999999986</v>
      </c>
      <c r="K31" s="52">
        <f t="shared" si="19"/>
        <v>0.34999999999999987</v>
      </c>
      <c r="L31" s="52">
        <f t="shared" si="19"/>
        <v>0.29999999999999988</v>
      </c>
      <c r="M31" s="52">
        <f t="shared" si="19"/>
        <v>0.24999999999999989</v>
      </c>
      <c r="N31" s="52">
        <f t="shared" si="19"/>
        <v>0.1999999999999999</v>
      </c>
      <c r="O31" s="52">
        <f t="shared" si="19"/>
        <v>0.14999999999999991</v>
      </c>
      <c r="P31" s="52">
        <v>0.1</v>
      </c>
      <c r="Q31" s="52">
        <v>0.1</v>
      </c>
      <c r="R31" s="52">
        <v>0.1</v>
      </c>
      <c r="S31" s="52">
        <v>0.1</v>
      </c>
    </row>
    <row r="32" spans="1:20" ht="14.25" customHeight="1" x14ac:dyDescent="0.35">
      <c r="A32" s="60" t="s">
        <v>133</v>
      </c>
      <c r="B32" s="51">
        <v>0.12</v>
      </c>
      <c r="C32" s="52">
        <f t="shared" ref="C32:J32" si="20">B32+0.03</f>
        <v>0.15</v>
      </c>
      <c r="D32" s="52">
        <f t="shared" si="20"/>
        <v>0.18</v>
      </c>
      <c r="E32" s="52">
        <f t="shared" si="20"/>
        <v>0.21</v>
      </c>
      <c r="F32" s="52">
        <f t="shared" si="20"/>
        <v>0.24</v>
      </c>
      <c r="G32" s="52">
        <f t="shared" si="20"/>
        <v>0.27</v>
      </c>
      <c r="H32" s="52">
        <f t="shared" si="20"/>
        <v>0.30000000000000004</v>
      </c>
      <c r="I32" s="52">
        <f t="shared" si="20"/>
        <v>0.33000000000000007</v>
      </c>
      <c r="J32" s="52">
        <f t="shared" si="20"/>
        <v>0.3600000000000001</v>
      </c>
      <c r="K32" s="52">
        <f>J32+0.01</f>
        <v>0.37000000000000011</v>
      </c>
      <c r="L32" s="52">
        <v>0.37</v>
      </c>
      <c r="M32" s="52">
        <v>0.37</v>
      </c>
      <c r="N32" s="52">
        <v>0.37</v>
      </c>
      <c r="O32" s="52">
        <v>0.37</v>
      </c>
      <c r="P32" s="52">
        <v>0.37</v>
      </c>
      <c r="Q32" s="52">
        <v>0.37</v>
      </c>
      <c r="R32" s="52">
        <v>0.37</v>
      </c>
      <c r="S32" s="52">
        <v>0.37</v>
      </c>
    </row>
    <row r="33" spans="1:20" ht="14.25" customHeight="1" x14ac:dyDescent="0.35">
      <c r="A33" s="60" t="s">
        <v>135</v>
      </c>
      <c r="B33" s="51">
        <v>0.06</v>
      </c>
      <c r="C33" s="52">
        <f t="shared" ref="C33:S33" si="21">1-C31-C32-C34</f>
        <v>7.5000000000000011E-2</v>
      </c>
      <c r="D33" s="52">
        <f t="shared" si="21"/>
        <v>9.0000000000000052E-2</v>
      </c>
      <c r="E33" s="52">
        <f t="shared" si="21"/>
        <v>0.10000000000000009</v>
      </c>
      <c r="F33" s="52">
        <f t="shared" si="21"/>
        <v>0.11000000000000014</v>
      </c>
      <c r="G33" s="52">
        <f t="shared" si="21"/>
        <v>0.12000000000000016</v>
      </c>
      <c r="H33" s="52">
        <f t="shared" si="21"/>
        <v>0.13000000000000017</v>
      </c>
      <c r="I33" s="52">
        <f t="shared" si="21"/>
        <v>0.14000000000000007</v>
      </c>
      <c r="J33" s="52">
        <f t="shared" si="21"/>
        <v>0.15</v>
      </c>
      <c r="K33" s="52">
        <f t="shared" si="21"/>
        <v>0.18000000000000005</v>
      </c>
      <c r="L33" s="52">
        <f t="shared" si="21"/>
        <v>0.2200000000000002</v>
      </c>
      <c r="M33" s="52">
        <f t="shared" si="21"/>
        <v>0.26000000000000012</v>
      </c>
      <c r="N33" s="52">
        <f t="shared" si="21"/>
        <v>0.30000000000000004</v>
      </c>
      <c r="O33" s="52">
        <f t="shared" si="21"/>
        <v>0.34000000000000008</v>
      </c>
      <c r="P33" s="52">
        <f t="shared" si="21"/>
        <v>0.38</v>
      </c>
      <c r="Q33" s="52">
        <f t="shared" si="21"/>
        <v>0.38</v>
      </c>
      <c r="R33" s="52">
        <f t="shared" si="21"/>
        <v>0.38</v>
      </c>
      <c r="S33" s="52">
        <f t="shared" si="21"/>
        <v>0.38</v>
      </c>
    </row>
    <row r="34" spans="1:20" ht="14.25" customHeight="1" x14ac:dyDescent="0.35">
      <c r="A34" s="60" t="s">
        <v>137</v>
      </c>
      <c r="B34" s="51">
        <v>0.02</v>
      </c>
      <c r="C34" s="52">
        <f>B34+0.005</f>
        <v>2.5000000000000001E-2</v>
      </c>
      <c r="D34" s="52">
        <f>C34+0.005</f>
        <v>3.0000000000000002E-2</v>
      </c>
      <c r="E34" s="52">
        <f t="shared" ref="E34:O34" si="22">D34+0.01</f>
        <v>0.04</v>
      </c>
      <c r="F34" s="52">
        <f t="shared" si="22"/>
        <v>0.05</v>
      </c>
      <c r="G34" s="52">
        <f t="shared" si="22"/>
        <v>6.0000000000000005E-2</v>
      </c>
      <c r="H34" s="52">
        <f t="shared" si="22"/>
        <v>7.0000000000000007E-2</v>
      </c>
      <c r="I34" s="52">
        <f t="shared" si="22"/>
        <v>0.08</v>
      </c>
      <c r="J34" s="52">
        <f t="shared" si="22"/>
        <v>0.09</v>
      </c>
      <c r="K34" s="52">
        <f t="shared" si="22"/>
        <v>9.9999999999999992E-2</v>
      </c>
      <c r="L34" s="52">
        <f t="shared" si="22"/>
        <v>0.10999999999999999</v>
      </c>
      <c r="M34" s="52">
        <f t="shared" si="22"/>
        <v>0.11999999999999998</v>
      </c>
      <c r="N34" s="52">
        <f t="shared" si="22"/>
        <v>0.12999999999999998</v>
      </c>
      <c r="O34" s="52">
        <f t="shared" si="22"/>
        <v>0.13999999999999999</v>
      </c>
      <c r="P34" s="52">
        <v>0.15</v>
      </c>
      <c r="Q34" s="52">
        <v>0.15</v>
      </c>
      <c r="R34" s="52">
        <v>0.15</v>
      </c>
      <c r="S34" s="52">
        <v>0.15</v>
      </c>
    </row>
    <row r="35" spans="1:20" ht="14.25" customHeight="1" x14ac:dyDescent="0.35">
      <c r="A35" s="60" t="s">
        <v>141</v>
      </c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</row>
    <row r="37" spans="1:20" s="47" customFormat="1" ht="14.25" customHeight="1" x14ac:dyDescent="0.35">
      <c r="A37" s="64" t="s">
        <v>142</v>
      </c>
      <c r="B37" s="48">
        <f t="shared" ref="B37:S37" si="23">B38*365</f>
        <v>9690.7499999999982</v>
      </c>
      <c r="C37" s="48">
        <f t="shared" si="23"/>
        <v>15611.313712500001</v>
      </c>
      <c r="D37" s="48">
        <f t="shared" si="23"/>
        <v>24281.837348422501</v>
      </c>
      <c r="E37" s="48">
        <f t="shared" si="23"/>
        <v>35070.257682326628</v>
      </c>
      <c r="F37" s="48">
        <f t="shared" si="23"/>
        <v>48703.820356331104</v>
      </c>
      <c r="G37" s="48">
        <f t="shared" si="23"/>
        <v>64931.933299060642</v>
      </c>
      <c r="H37" s="48">
        <f t="shared" si="23"/>
        <v>82960.284579544823</v>
      </c>
      <c r="I37" s="48">
        <f t="shared" si="23"/>
        <v>101385.76378466177</v>
      </c>
      <c r="J37" s="48">
        <f t="shared" si="23"/>
        <v>118271.56274299719</v>
      </c>
      <c r="K37" s="48">
        <f t="shared" si="23"/>
        <v>137969.69151784337</v>
      </c>
      <c r="L37" s="48">
        <f t="shared" si="23"/>
        <v>160948.54364014021</v>
      </c>
      <c r="M37" s="48">
        <f t="shared" si="23"/>
        <v>187754.52358340556</v>
      </c>
      <c r="N37" s="48">
        <f t="shared" si="23"/>
        <v>219025.03948622182</v>
      </c>
      <c r="O37" s="48">
        <f t="shared" si="23"/>
        <v>255503.65981265207</v>
      </c>
      <c r="P37" s="48">
        <f t="shared" si="23"/>
        <v>298057.79435444932</v>
      </c>
      <c r="Q37" s="48">
        <f t="shared" si="23"/>
        <v>347699.32000418293</v>
      </c>
      <c r="R37" s="48">
        <f t="shared" si="23"/>
        <v>405608.64175087959</v>
      </c>
      <c r="S37" s="48">
        <f t="shared" si="23"/>
        <v>473162.76103448868</v>
      </c>
      <c r="T37" s="53"/>
    </row>
    <row r="38" spans="1:20" ht="14.25" customHeight="1" x14ac:dyDescent="0.35">
      <c r="A38" s="64" t="s">
        <v>143</v>
      </c>
      <c r="B38" s="62">
        <f>B22</f>
        <v>26.549999999999997</v>
      </c>
      <c r="C38" s="65">
        <f t="shared" ref="C38:S38" si="24">C39*C40*0.001*C42</f>
        <v>42.770722500000005</v>
      </c>
      <c r="D38" s="65">
        <f t="shared" si="24"/>
        <v>66.525581776500005</v>
      </c>
      <c r="E38" s="65">
        <f t="shared" si="24"/>
        <v>96.082897759798982</v>
      </c>
      <c r="F38" s="65">
        <f t="shared" si="24"/>
        <v>133.43512426392084</v>
      </c>
      <c r="G38" s="65">
        <f t="shared" si="24"/>
        <v>177.8957076686593</v>
      </c>
      <c r="H38" s="65">
        <f t="shared" si="24"/>
        <v>227.28845090286254</v>
      </c>
      <c r="I38" s="65">
        <f t="shared" si="24"/>
        <v>277.7692158483884</v>
      </c>
      <c r="J38" s="65">
        <f t="shared" si="24"/>
        <v>324.03167874793752</v>
      </c>
      <c r="K38" s="65">
        <f t="shared" si="24"/>
        <v>377.99915484340653</v>
      </c>
      <c r="L38" s="65">
        <f t="shared" si="24"/>
        <v>440.9549140825759</v>
      </c>
      <c r="M38" s="65">
        <f t="shared" si="24"/>
        <v>514.39595502302893</v>
      </c>
      <c r="N38" s="65">
        <f t="shared" si="24"/>
        <v>600.06860133211455</v>
      </c>
      <c r="O38" s="65">
        <f t="shared" si="24"/>
        <v>700.0100268839783</v>
      </c>
      <c r="P38" s="65">
        <f t="shared" si="24"/>
        <v>816.59669686150505</v>
      </c>
      <c r="Q38" s="65">
        <f t="shared" si="24"/>
        <v>952.60087672378882</v>
      </c>
      <c r="R38" s="65">
        <f t="shared" si="24"/>
        <v>1111.2565527421359</v>
      </c>
      <c r="S38" s="65">
        <f t="shared" si="24"/>
        <v>1296.3363316013388</v>
      </c>
      <c r="T38" s="53">
        <f>(M38/B38)^0.1-1</f>
        <v>0.34500315149753158</v>
      </c>
    </row>
    <row r="39" spans="1:20" ht="14.25" customHeight="1" x14ac:dyDescent="0.35">
      <c r="A39" s="66" t="s">
        <v>144</v>
      </c>
      <c r="B39">
        <v>1250</v>
      </c>
      <c r="C39" s="67">
        <f t="shared" ref="C39:S39" si="25">B39*1.01</f>
        <v>1262.5</v>
      </c>
      <c r="D39" s="67">
        <f t="shared" si="25"/>
        <v>1275.125</v>
      </c>
      <c r="E39" s="67">
        <f t="shared" si="25"/>
        <v>1287.87625</v>
      </c>
      <c r="F39" s="67">
        <f t="shared" si="25"/>
        <v>1300.7550125</v>
      </c>
      <c r="G39" s="67">
        <f t="shared" si="25"/>
        <v>1313.7625626250001</v>
      </c>
      <c r="H39" s="67">
        <f t="shared" si="25"/>
        <v>1326.90018825125</v>
      </c>
      <c r="I39" s="67">
        <f t="shared" si="25"/>
        <v>1340.1691901337626</v>
      </c>
      <c r="J39" s="67">
        <f t="shared" si="25"/>
        <v>1353.5708820351003</v>
      </c>
      <c r="K39" s="67">
        <f t="shared" si="25"/>
        <v>1367.1065908554513</v>
      </c>
      <c r="L39" s="67">
        <f t="shared" si="25"/>
        <v>1380.7776567640058</v>
      </c>
      <c r="M39" s="67">
        <f t="shared" si="25"/>
        <v>1394.5854333316458</v>
      </c>
      <c r="N39" s="67">
        <f t="shared" si="25"/>
        <v>1408.5312876649623</v>
      </c>
      <c r="O39" s="67">
        <f t="shared" si="25"/>
        <v>1422.6166005416119</v>
      </c>
      <c r="P39" s="67">
        <f t="shared" si="25"/>
        <v>1436.8427665470281</v>
      </c>
      <c r="Q39" s="67">
        <f t="shared" si="25"/>
        <v>1451.2111942124984</v>
      </c>
      <c r="R39" s="67">
        <f t="shared" si="25"/>
        <v>1465.7233061546235</v>
      </c>
      <c r="S39" s="67">
        <f t="shared" si="25"/>
        <v>1480.3805392161698</v>
      </c>
    </row>
    <row r="40" spans="1:20" ht="14.25" customHeight="1" x14ac:dyDescent="0.35">
      <c r="A40" s="57" t="s">
        <v>145</v>
      </c>
      <c r="B40" s="68">
        <f>B38/(B39/1000)</f>
        <v>21.24</v>
      </c>
      <c r="C40" s="68">
        <f t="shared" ref="C40:S40" si="26">B40*(1+C41)</f>
        <v>30.797999999999998</v>
      </c>
      <c r="D40" s="68">
        <f t="shared" si="26"/>
        <v>43.117199999999997</v>
      </c>
      <c r="E40" s="68">
        <f t="shared" si="26"/>
        <v>56.05236</v>
      </c>
      <c r="F40" s="68">
        <f t="shared" si="26"/>
        <v>70.065449999999998</v>
      </c>
      <c r="G40" s="68">
        <f t="shared" si="26"/>
        <v>84.07853999999999</v>
      </c>
      <c r="H40" s="68">
        <f t="shared" si="26"/>
        <v>96.690320999999983</v>
      </c>
      <c r="I40" s="68">
        <f t="shared" si="26"/>
        <v>106.35935309999999</v>
      </c>
      <c r="J40" s="68">
        <f t="shared" si="26"/>
        <v>111.677320755</v>
      </c>
      <c r="K40" s="68">
        <f t="shared" si="26"/>
        <v>117.26118679275</v>
      </c>
      <c r="L40" s="68">
        <f t="shared" si="26"/>
        <v>123.1242461323875</v>
      </c>
      <c r="M40" s="68">
        <f t="shared" si="26"/>
        <v>129.28045843900688</v>
      </c>
      <c r="N40" s="68">
        <f t="shared" si="26"/>
        <v>135.74448136095722</v>
      </c>
      <c r="O40" s="68">
        <f t="shared" si="26"/>
        <v>142.53170542900509</v>
      </c>
      <c r="P40" s="68">
        <f t="shared" si="26"/>
        <v>149.65829070045535</v>
      </c>
      <c r="Q40" s="68">
        <f t="shared" si="26"/>
        <v>157.14120523547814</v>
      </c>
      <c r="R40" s="68">
        <f t="shared" si="26"/>
        <v>164.99826549725205</v>
      </c>
      <c r="S40" s="68">
        <f t="shared" si="26"/>
        <v>173.24817877211467</v>
      </c>
    </row>
    <row r="41" spans="1:20" ht="14.25" customHeight="1" x14ac:dyDescent="0.35">
      <c r="A41" s="60" t="s">
        <v>146</v>
      </c>
      <c r="B41" s="68"/>
      <c r="C41" s="52">
        <v>0.45</v>
      </c>
      <c r="D41" s="52">
        <v>0.4</v>
      </c>
      <c r="E41" s="52">
        <v>0.3</v>
      </c>
      <c r="F41" s="52">
        <v>0.25</v>
      </c>
      <c r="G41" s="52">
        <v>0.2</v>
      </c>
      <c r="H41" s="52">
        <v>0.15</v>
      </c>
      <c r="I41" s="52">
        <v>0.1</v>
      </c>
      <c r="J41" s="52">
        <v>0.05</v>
      </c>
      <c r="K41" s="52">
        <v>0.05</v>
      </c>
      <c r="L41" s="52">
        <v>0.05</v>
      </c>
      <c r="M41" s="52">
        <v>0.05</v>
      </c>
      <c r="N41" s="52">
        <v>0.05</v>
      </c>
      <c r="O41" s="52">
        <v>0.05</v>
      </c>
      <c r="P41" s="52">
        <v>0.05</v>
      </c>
      <c r="Q41" s="52">
        <v>0.05</v>
      </c>
      <c r="R41" s="52">
        <v>0.05</v>
      </c>
      <c r="S41" s="52">
        <v>0.05</v>
      </c>
    </row>
    <row r="42" spans="1:20" ht="14.25" customHeight="1" x14ac:dyDescent="0.35">
      <c r="A42" s="60" t="s">
        <v>12</v>
      </c>
      <c r="B42" s="63">
        <v>1</v>
      </c>
      <c r="C42" s="63">
        <f t="shared" ref="C42:S42" si="27">B42*1.1</f>
        <v>1.1000000000000001</v>
      </c>
      <c r="D42" s="63">
        <f t="shared" si="27"/>
        <v>1.2100000000000002</v>
      </c>
      <c r="E42" s="63">
        <f t="shared" si="27"/>
        <v>1.3310000000000004</v>
      </c>
      <c r="F42" s="63">
        <f t="shared" si="27"/>
        <v>1.4641000000000006</v>
      </c>
      <c r="G42" s="63">
        <f t="shared" si="27"/>
        <v>1.6105100000000008</v>
      </c>
      <c r="H42" s="63">
        <f t="shared" si="27"/>
        <v>1.7715610000000011</v>
      </c>
      <c r="I42" s="63">
        <f t="shared" si="27"/>
        <v>1.9487171000000014</v>
      </c>
      <c r="J42" s="63">
        <f t="shared" si="27"/>
        <v>2.1435888100000016</v>
      </c>
      <c r="K42" s="63">
        <f t="shared" si="27"/>
        <v>2.3579476910000019</v>
      </c>
      <c r="L42" s="63">
        <f t="shared" si="27"/>
        <v>2.5937424601000023</v>
      </c>
      <c r="M42" s="63">
        <f t="shared" si="27"/>
        <v>2.8531167061100029</v>
      </c>
      <c r="N42" s="63">
        <f t="shared" si="27"/>
        <v>3.1384283767210035</v>
      </c>
      <c r="O42" s="63">
        <f t="shared" si="27"/>
        <v>3.4522712143931042</v>
      </c>
      <c r="P42" s="63">
        <f t="shared" si="27"/>
        <v>3.7974983358324148</v>
      </c>
      <c r="Q42" s="63">
        <f t="shared" si="27"/>
        <v>4.1772481694156562</v>
      </c>
      <c r="R42" s="63">
        <f t="shared" si="27"/>
        <v>4.594972986357222</v>
      </c>
      <c r="S42" s="63">
        <f t="shared" si="27"/>
        <v>5.0544702849929442</v>
      </c>
      <c r="T42" s="69" t="s">
        <v>147</v>
      </c>
    </row>
    <row r="43" spans="1:20" ht="14.25" customHeight="1" x14ac:dyDescent="0.35">
      <c r="A43" s="57"/>
    </row>
    <row r="44" spans="1:20" ht="14.25" customHeight="1" x14ac:dyDescent="0.35">
      <c r="A44" s="57"/>
    </row>
    <row r="45" spans="1:20" s="47" customFormat="1" ht="23.25" customHeight="1" x14ac:dyDescent="0.55000000000000004">
      <c r="A45" s="70" t="s">
        <v>148</v>
      </c>
    </row>
    <row r="46" spans="1:20" ht="14.25" customHeight="1" x14ac:dyDescent="0.35">
      <c r="A46" s="57"/>
    </row>
    <row r="47" spans="1:20" ht="14.25" customHeight="1" x14ac:dyDescent="0.35">
      <c r="A47" s="59" t="s">
        <v>149</v>
      </c>
      <c r="B47" s="51"/>
    </row>
    <row r="48" spans="1:20" ht="14.25" customHeight="1" x14ac:dyDescent="0.35">
      <c r="A48" s="60" t="s">
        <v>150</v>
      </c>
      <c r="B48">
        <v>0.01</v>
      </c>
      <c r="C48">
        <v>0.05</v>
      </c>
      <c r="D48">
        <v>0.15</v>
      </c>
      <c r="E48">
        <v>0.5</v>
      </c>
      <c r="F48">
        <v>1</v>
      </c>
      <c r="G48">
        <v>1.5</v>
      </c>
      <c r="H48" s="58">
        <f t="shared" ref="H48:H54" si="28">AVERAGE(I48,G48)</f>
        <v>2.5499999999999998</v>
      </c>
      <c r="I48">
        <v>3.6</v>
      </c>
      <c r="J48" s="58">
        <f t="shared" ref="J48:J54" si="29">AVERAGE(K48,I48)</f>
        <v>7.6499999999999995</v>
      </c>
      <c r="K48">
        <v>11.7</v>
      </c>
      <c r="L48" s="58">
        <f t="shared" ref="L48:L54" si="30">AVERAGE(M48,K48)</f>
        <v>17.899999999999999</v>
      </c>
      <c r="M48">
        <v>24.1</v>
      </c>
      <c r="N48" s="58">
        <f>AVERAGE(O48,M48)</f>
        <v>31.650000000000002</v>
      </c>
      <c r="O48">
        <v>39.200000000000003</v>
      </c>
      <c r="P48" s="58">
        <f>AVERAGE(Q48,O48)</f>
        <v>49.150000000000006</v>
      </c>
      <c r="Q48">
        <v>59.1</v>
      </c>
      <c r="R48" s="58">
        <f>AVERAGE(S48,Q48)</f>
        <v>66.150000000000006</v>
      </c>
      <c r="S48">
        <v>73.2</v>
      </c>
    </row>
    <row r="49" spans="1:23" ht="14.25" customHeight="1" x14ac:dyDescent="0.35">
      <c r="A49" s="60" t="s">
        <v>151</v>
      </c>
      <c r="B49">
        <v>13.8</v>
      </c>
      <c r="C49">
        <v>15.5</v>
      </c>
      <c r="D49">
        <v>24.8</v>
      </c>
      <c r="E49">
        <v>26.5</v>
      </c>
      <c r="F49">
        <v>38.200000000000003</v>
      </c>
      <c r="G49">
        <v>41.8</v>
      </c>
      <c r="H49" s="58">
        <f t="shared" si="28"/>
        <v>46.55</v>
      </c>
      <c r="I49">
        <v>51.3</v>
      </c>
      <c r="J49" s="58">
        <f t="shared" si="29"/>
        <v>56.25</v>
      </c>
      <c r="K49">
        <v>61.2</v>
      </c>
      <c r="L49" s="58">
        <f t="shared" si="30"/>
        <v>81.050000000000011</v>
      </c>
      <c r="M49">
        <v>100.9</v>
      </c>
      <c r="N49" s="58">
        <f>AVERAGE(O49,M49)</f>
        <v>118.65</v>
      </c>
      <c r="O49">
        <v>136.4</v>
      </c>
      <c r="P49" s="58">
        <f>AVERAGE(Q49,O49)</f>
        <v>170.55</v>
      </c>
      <c r="Q49">
        <v>204.7</v>
      </c>
      <c r="R49" s="58">
        <f>AVERAGE(S49,Q49)</f>
        <v>248.2</v>
      </c>
      <c r="S49">
        <v>291.7</v>
      </c>
    </row>
    <row r="50" spans="1:23" ht="14.25" customHeight="1" x14ac:dyDescent="0.35">
      <c r="A50" s="71" t="s">
        <v>152</v>
      </c>
      <c r="B50" s="72">
        <v>0.02</v>
      </c>
      <c r="C50" s="72">
        <v>0.03</v>
      </c>
      <c r="D50" s="72">
        <v>0.06</v>
      </c>
      <c r="E50" s="72">
        <v>0.15</v>
      </c>
      <c r="F50" s="72">
        <v>0.32</v>
      </c>
      <c r="G50" s="72">
        <v>0.4</v>
      </c>
      <c r="H50" s="72">
        <f t="shared" si="28"/>
        <v>0.95</v>
      </c>
      <c r="I50" s="72">
        <v>1.5</v>
      </c>
      <c r="J50" s="72">
        <f t="shared" si="29"/>
        <v>2.5</v>
      </c>
      <c r="K50" s="72">
        <v>3.5</v>
      </c>
      <c r="L50" s="72">
        <f t="shared" si="30"/>
        <v>6.65</v>
      </c>
      <c r="M50" s="72">
        <v>9.8000000000000007</v>
      </c>
      <c r="N50" s="72">
        <v>13</v>
      </c>
      <c r="O50" s="72">
        <f>N50*1.2</f>
        <v>15.6</v>
      </c>
      <c r="P50" s="72">
        <f>O50*1.2</f>
        <v>18.72</v>
      </c>
      <c r="Q50" s="72">
        <f>P50*1.2</f>
        <v>22.463999999999999</v>
      </c>
      <c r="R50" s="72">
        <f>Q50*1.2</f>
        <v>26.956799999999998</v>
      </c>
      <c r="S50" s="72">
        <f>R50*1.2</f>
        <v>32.348159999999993</v>
      </c>
    </row>
    <row r="51" spans="1:23" ht="14.25" customHeight="1" x14ac:dyDescent="0.35">
      <c r="A51" s="60" t="s">
        <v>153</v>
      </c>
      <c r="B51" s="58">
        <v>0.6</v>
      </c>
      <c r="C51" s="58">
        <v>0.7</v>
      </c>
      <c r="D51" s="58">
        <v>0.9</v>
      </c>
      <c r="E51" s="58">
        <v>1</v>
      </c>
      <c r="F51" s="58">
        <v>1.2</v>
      </c>
      <c r="G51" s="58">
        <v>1.5</v>
      </c>
      <c r="H51" s="58">
        <f t="shared" si="28"/>
        <v>1.8</v>
      </c>
      <c r="I51" s="58">
        <v>2.1</v>
      </c>
      <c r="J51" s="58">
        <f t="shared" si="29"/>
        <v>2.5</v>
      </c>
      <c r="K51" s="58">
        <v>2.9</v>
      </c>
      <c r="L51" s="58">
        <f t="shared" si="30"/>
        <v>3.5</v>
      </c>
      <c r="M51" s="58">
        <v>4.0999999999999996</v>
      </c>
      <c r="N51" s="58">
        <f>AVERAGE(O51,M51)</f>
        <v>4.8499999999999996</v>
      </c>
      <c r="O51" s="58">
        <v>5.6</v>
      </c>
      <c r="P51" s="58">
        <f>AVERAGE(Q51,O51)</f>
        <v>6.6999999999999993</v>
      </c>
      <c r="Q51" s="58">
        <v>7.8</v>
      </c>
      <c r="R51" s="58">
        <f>AVERAGE(S51,Q51)</f>
        <v>9.4</v>
      </c>
      <c r="S51" s="58">
        <v>11</v>
      </c>
    </row>
    <row r="52" spans="1:23" ht="14.25" customHeight="1" x14ac:dyDescent="0.35">
      <c r="A52" s="60" t="s">
        <v>154</v>
      </c>
      <c r="B52" s="58">
        <v>0</v>
      </c>
      <c r="C52" s="58">
        <v>0</v>
      </c>
      <c r="D52" s="58">
        <v>0</v>
      </c>
      <c r="E52" s="58">
        <v>0.01</v>
      </c>
      <c r="F52" s="58">
        <v>0.01</v>
      </c>
      <c r="G52" s="58">
        <v>0.02</v>
      </c>
      <c r="H52" s="58">
        <f t="shared" si="28"/>
        <v>0.03</v>
      </c>
      <c r="I52" s="58">
        <v>0.04</v>
      </c>
      <c r="J52" s="58">
        <f t="shared" si="29"/>
        <v>7.0000000000000007E-2</v>
      </c>
      <c r="K52" s="58">
        <v>0.1</v>
      </c>
      <c r="L52" s="58">
        <f t="shared" si="30"/>
        <v>0.16999999999999998</v>
      </c>
      <c r="M52" s="58">
        <v>0.24</v>
      </c>
      <c r="N52" s="58">
        <f>AVERAGE(O52,M52)</f>
        <v>0.35499999999999998</v>
      </c>
      <c r="O52" s="58">
        <v>0.47</v>
      </c>
      <c r="P52" s="58">
        <f>AVERAGE(Q52,O52)</f>
        <v>0.65500000000000003</v>
      </c>
      <c r="Q52" s="58">
        <v>0.84</v>
      </c>
      <c r="R52" s="58">
        <f>AVERAGE(S52,Q52)</f>
        <v>1.115</v>
      </c>
      <c r="S52" s="58">
        <v>1.39</v>
      </c>
    </row>
    <row r="53" spans="1:23" ht="14.25" customHeight="1" x14ac:dyDescent="0.35">
      <c r="A53" s="60" t="s">
        <v>155</v>
      </c>
      <c r="B53" s="58">
        <v>1.1000000000000001</v>
      </c>
      <c r="C53" s="58">
        <v>1.5</v>
      </c>
      <c r="D53" s="58">
        <v>2</v>
      </c>
      <c r="E53" s="58">
        <v>2.7</v>
      </c>
      <c r="F53" s="58">
        <v>3.6</v>
      </c>
      <c r="G53" s="58">
        <v>4.8</v>
      </c>
      <c r="H53" s="58">
        <f t="shared" si="28"/>
        <v>6.65</v>
      </c>
      <c r="I53" s="58">
        <v>8.5</v>
      </c>
      <c r="J53" s="58">
        <f t="shared" si="29"/>
        <v>11.55</v>
      </c>
      <c r="K53" s="58">
        <v>14.6</v>
      </c>
      <c r="L53" s="58">
        <f t="shared" si="30"/>
        <v>18.95</v>
      </c>
      <c r="M53" s="58">
        <v>23.3</v>
      </c>
      <c r="N53" s="58">
        <f>AVERAGE(O53,M53)</f>
        <v>29.15</v>
      </c>
      <c r="O53" s="58">
        <v>35</v>
      </c>
      <c r="P53" s="58">
        <f>AVERAGE(Q53,O53)</f>
        <v>43</v>
      </c>
      <c r="Q53" s="58">
        <v>51</v>
      </c>
      <c r="R53" s="58">
        <f>AVERAGE(S53,Q53)</f>
        <v>61.2</v>
      </c>
      <c r="S53" s="58">
        <v>71.400000000000006</v>
      </c>
    </row>
    <row r="54" spans="1:23" ht="14.25" customHeight="1" x14ac:dyDescent="0.35">
      <c r="A54" s="60" t="s">
        <v>156</v>
      </c>
      <c r="B54" s="58">
        <v>8</v>
      </c>
      <c r="C54" s="58">
        <v>11.2</v>
      </c>
      <c r="D54" s="58">
        <v>17.7</v>
      </c>
      <c r="E54" s="58">
        <v>27.3</v>
      </c>
      <c r="F54" s="58">
        <v>36.5</v>
      </c>
      <c r="G54" s="58">
        <v>43.2</v>
      </c>
      <c r="H54" s="58">
        <f t="shared" si="28"/>
        <v>60.300000000000004</v>
      </c>
      <c r="I54" s="58">
        <v>77.400000000000006</v>
      </c>
      <c r="J54" s="58">
        <f t="shared" si="29"/>
        <v>90.300000000000011</v>
      </c>
      <c r="K54" s="58">
        <v>103.2</v>
      </c>
      <c r="L54" s="58">
        <f t="shared" si="30"/>
        <v>123.05000000000001</v>
      </c>
      <c r="M54" s="58">
        <v>142.9</v>
      </c>
      <c r="N54" s="58">
        <f>AVERAGE(O54,M54)</f>
        <v>164.45</v>
      </c>
      <c r="O54" s="58">
        <v>186</v>
      </c>
      <c r="P54" s="58">
        <f>AVERAGE(Q54,O54)</f>
        <v>210.3</v>
      </c>
      <c r="Q54" s="58">
        <v>234.6</v>
      </c>
      <c r="R54" s="58">
        <f>AVERAGE(S54,Q54)</f>
        <v>251.95</v>
      </c>
      <c r="S54" s="58">
        <v>269.3</v>
      </c>
    </row>
    <row r="55" spans="1:23" ht="14.25" customHeight="1" x14ac:dyDescent="0.35">
      <c r="A55" s="73" t="s">
        <v>157</v>
      </c>
      <c r="B55" s="62">
        <f t="shared" ref="B55:S55" si="31">SUM(B48:B54)</f>
        <v>23.53</v>
      </c>
      <c r="C55" s="62">
        <f t="shared" si="31"/>
        <v>28.98</v>
      </c>
      <c r="D55" s="62">
        <f t="shared" si="31"/>
        <v>45.61</v>
      </c>
      <c r="E55" s="62">
        <f t="shared" si="31"/>
        <v>58.16</v>
      </c>
      <c r="F55" s="62">
        <f t="shared" si="31"/>
        <v>80.830000000000013</v>
      </c>
      <c r="G55" s="62">
        <f t="shared" si="31"/>
        <v>93.22</v>
      </c>
      <c r="H55" s="62">
        <f t="shared" si="31"/>
        <v>118.83</v>
      </c>
      <c r="I55" s="62">
        <f t="shared" si="31"/>
        <v>144.44</v>
      </c>
      <c r="J55" s="62">
        <f t="shared" si="31"/>
        <v>170.82</v>
      </c>
      <c r="K55" s="62">
        <f t="shared" si="31"/>
        <v>197.2</v>
      </c>
      <c r="L55" s="62">
        <f t="shared" si="31"/>
        <v>251.27000000000004</v>
      </c>
      <c r="M55" s="62">
        <f t="shared" si="31"/>
        <v>305.34000000000003</v>
      </c>
      <c r="N55" s="62">
        <f t="shared" si="31"/>
        <v>362.10500000000002</v>
      </c>
      <c r="O55" s="62">
        <f t="shared" si="31"/>
        <v>418.27</v>
      </c>
      <c r="P55" s="62">
        <f t="shared" si="31"/>
        <v>499.07499999999999</v>
      </c>
      <c r="Q55" s="62">
        <f t="shared" si="31"/>
        <v>580.50400000000002</v>
      </c>
      <c r="R55" s="62">
        <f t="shared" si="31"/>
        <v>664.97180000000003</v>
      </c>
      <c r="S55" s="62">
        <f t="shared" si="31"/>
        <v>750.33816000000002</v>
      </c>
    </row>
    <row r="58" spans="1:23" ht="14.25" customHeight="1" x14ac:dyDescent="0.35">
      <c r="A58" s="59" t="s">
        <v>158</v>
      </c>
      <c r="B58" s="62">
        <f t="shared" ref="B58:S58" si="32">SUMPRODUCT(B48:B54, B59:B65) * 0.000001</f>
        <v>0.36219999999999997</v>
      </c>
      <c r="C58" s="62">
        <f t="shared" si="32"/>
        <v>0.57464999999999999</v>
      </c>
      <c r="D58" s="62">
        <f t="shared" si="32"/>
        <v>0.99058600000000008</v>
      </c>
      <c r="E58" s="62">
        <f t="shared" si="32"/>
        <v>1.8427155600000003</v>
      </c>
      <c r="F58" s="62">
        <f t="shared" si="32"/>
        <v>3.2722687048000001</v>
      </c>
      <c r="G58" s="62">
        <f t="shared" si="32"/>
        <v>4.8309945287680005</v>
      </c>
      <c r="H58" s="62">
        <f t="shared" si="32"/>
        <v>9.3193790294441605</v>
      </c>
      <c r="I58" s="62">
        <f t="shared" si="32"/>
        <v>15.068007650695595</v>
      </c>
      <c r="J58" s="62">
        <f t="shared" si="32"/>
        <v>25.249636081089882</v>
      </c>
      <c r="K58" s="62">
        <f t="shared" si="32"/>
        <v>37.950108033302442</v>
      </c>
      <c r="L58" s="62">
        <f t="shared" si="32"/>
        <v>67.278751745374436</v>
      </c>
      <c r="M58" s="62">
        <f t="shared" si="32"/>
        <v>103.47281130363126</v>
      </c>
      <c r="N58" s="62">
        <f t="shared" si="32"/>
        <v>150.55312624912875</v>
      </c>
      <c r="O58" s="62">
        <f t="shared" si="32"/>
        <v>204.79824032761655</v>
      </c>
      <c r="P58" s="62">
        <f t="shared" si="32"/>
        <v>280.27845458368824</v>
      </c>
      <c r="Q58" s="62">
        <f t="shared" si="32"/>
        <v>379.91903098776976</v>
      </c>
      <c r="R58" s="62">
        <f t="shared" si="32"/>
        <v>508.28862639456293</v>
      </c>
      <c r="S58" s="62">
        <f t="shared" si="32"/>
        <v>676.98770075783727</v>
      </c>
    </row>
    <row r="59" spans="1:23" ht="14.25" customHeight="1" x14ac:dyDescent="0.35">
      <c r="A59" s="60" t="s">
        <v>150</v>
      </c>
      <c r="B59" s="49">
        <v>30000</v>
      </c>
      <c r="C59" s="49">
        <f t="shared" ref="C59:L59" si="33">B59+25000</f>
        <v>55000</v>
      </c>
      <c r="D59" s="49">
        <f t="shared" si="33"/>
        <v>80000</v>
      </c>
      <c r="E59" s="49">
        <f t="shared" si="33"/>
        <v>105000</v>
      </c>
      <c r="F59" s="49">
        <f t="shared" si="33"/>
        <v>130000</v>
      </c>
      <c r="G59" s="49">
        <f t="shared" si="33"/>
        <v>155000</v>
      </c>
      <c r="H59" s="49">
        <f t="shared" si="33"/>
        <v>180000</v>
      </c>
      <c r="I59" s="49">
        <f t="shared" si="33"/>
        <v>205000</v>
      </c>
      <c r="J59" s="49">
        <f t="shared" si="33"/>
        <v>230000</v>
      </c>
      <c r="K59" s="49">
        <f t="shared" si="33"/>
        <v>255000</v>
      </c>
      <c r="L59" s="49">
        <f t="shared" si="33"/>
        <v>280000</v>
      </c>
      <c r="M59" s="49">
        <v>300000</v>
      </c>
      <c r="N59" s="49">
        <f t="shared" ref="N59:S59" si="34">M59+25000</f>
        <v>325000</v>
      </c>
      <c r="O59" s="49">
        <f t="shared" si="34"/>
        <v>350000</v>
      </c>
      <c r="P59" s="49">
        <f t="shared" si="34"/>
        <v>375000</v>
      </c>
      <c r="Q59" s="49">
        <f t="shared" si="34"/>
        <v>400000</v>
      </c>
      <c r="R59" s="49">
        <f t="shared" si="34"/>
        <v>425000</v>
      </c>
      <c r="S59" s="49">
        <f t="shared" si="34"/>
        <v>450000</v>
      </c>
      <c r="T59" t="s">
        <v>159</v>
      </c>
    </row>
    <row r="60" spans="1:23" ht="14.25" customHeight="1" x14ac:dyDescent="0.35">
      <c r="A60" s="60" t="s">
        <v>151</v>
      </c>
      <c r="B60" s="49">
        <v>500</v>
      </c>
      <c r="C60" s="49">
        <f t="shared" ref="C60:S60" si="35">B60*1.2</f>
        <v>600</v>
      </c>
      <c r="D60" s="49">
        <f t="shared" si="35"/>
        <v>720</v>
      </c>
      <c r="E60" s="49">
        <f t="shared" si="35"/>
        <v>864</v>
      </c>
      <c r="F60" s="49">
        <f t="shared" si="35"/>
        <v>1036.8</v>
      </c>
      <c r="G60" s="49">
        <f t="shared" si="35"/>
        <v>1244.1599999999999</v>
      </c>
      <c r="H60" s="49">
        <f t="shared" si="35"/>
        <v>1492.9919999999997</v>
      </c>
      <c r="I60" s="49">
        <f t="shared" si="35"/>
        <v>1791.5903999999996</v>
      </c>
      <c r="J60" s="49">
        <f t="shared" si="35"/>
        <v>2149.9084799999996</v>
      </c>
      <c r="K60" s="49">
        <f t="shared" si="35"/>
        <v>2579.8901759999994</v>
      </c>
      <c r="L60" s="49">
        <f t="shared" si="35"/>
        <v>3095.8682111999992</v>
      </c>
      <c r="M60" s="49">
        <f t="shared" si="35"/>
        <v>3715.0418534399987</v>
      </c>
      <c r="N60" s="49">
        <f t="shared" si="35"/>
        <v>4458.0502241279983</v>
      </c>
      <c r="O60" s="49">
        <f t="shared" si="35"/>
        <v>5349.6602689535976</v>
      </c>
      <c r="P60" s="49">
        <f t="shared" si="35"/>
        <v>6419.5923227443172</v>
      </c>
      <c r="Q60" s="49">
        <f t="shared" si="35"/>
        <v>7703.5107872931803</v>
      </c>
      <c r="R60" s="49">
        <f t="shared" si="35"/>
        <v>9244.2129447518164</v>
      </c>
      <c r="S60" s="49">
        <f t="shared" si="35"/>
        <v>11093.05553370218</v>
      </c>
      <c r="T60" t="s">
        <v>160</v>
      </c>
      <c r="W60" t="s">
        <v>161</v>
      </c>
    </row>
    <row r="61" spans="1:23" ht="14.25" customHeight="1" x14ac:dyDescent="0.35">
      <c r="A61" s="60" t="s">
        <v>152</v>
      </c>
      <c r="B61" s="49">
        <v>2000000</v>
      </c>
      <c r="C61" s="49">
        <f t="shared" ref="C61:S61" si="36">B61*1.1</f>
        <v>2200000</v>
      </c>
      <c r="D61" s="49">
        <f t="shared" si="36"/>
        <v>2420000</v>
      </c>
      <c r="E61" s="49">
        <f t="shared" si="36"/>
        <v>2662000</v>
      </c>
      <c r="F61" s="49">
        <f t="shared" si="36"/>
        <v>2928200.0000000005</v>
      </c>
      <c r="G61" s="49">
        <f t="shared" si="36"/>
        <v>3221020.0000000009</v>
      </c>
      <c r="H61" s="49">
        <f t="shared" si="36"/>
        <v>3543122.0000000014</v>
      </c>
      <c r="I61" s="49">
        <f t="shared" si="36"/>
        <v>3897434.200000002</v>
      </c>
      <c r="J61" s="49">
        <f t="shared" si="36"/>
        <v>4287177.6200000029</v>
      </c>
      <c r="K61" s="49">
        <f t="shared" si="36"/>
        <v>4715895.3820000039</v>
      </c>
      <c r="L61" s="49">
        <f t="shared" si="36"/>
        <v>5187484.9202000052</v>
      </c>
      <c r="M61" s="49">
        <f t="shared" si="36"/>
        <v>5706233.4122200059</v>
      </c>
      <c r="N61" s="49">
        <f t="shared" si="36"/>
        <v>6276856.7534420071</v>
      </c>
      <c r="O61" s="49">
        <f t="shared" si="36"/>
        <v>6904542.4287862079</v>
      </c>
      <c r="P61" s="49">
        <f t="shared" si="36"/>
        <v>7594996.6716648294</v>
      </c>
      <c r="Q61" s="49">
        <f t="shared" si="36"/>
        <v>8354496.338831313</v>
      </c>
      <c r="R61" s="49">
        <f t="shared" si="36"/>
        <v>9189945.9727144446</v>
      </c>
      <c r="S61" s="49">
        <f t="shared" si="36"/>
        <v>10108940.569985891</v>
      </c>
    </row>
    <row r="62" spans="1:23" ht="14.25" customHeight="1" x14ac:dyDescent="0.35">
      <c r="A62" s="60" t="s">
        <v>153</v>
      </c>
      <c r="B62" s="49">
        <v>25000</v>
      </c>
      <c r="C62" s="49">
        <f t="shared" ref="C62:S62" si="37">B62*1.2</f>
        <v>30000</v>
      </c>
      <c r="D62" s="49">
        <f t="shared" si="37"/>
        <v>36000</v>
      </c>
      <c r="E62" s="49">
        <f t="shared" si="37"/>
        <v>43200</v>
      </c>
      <c r="F62" s="49">
        <f t="shared" si="37"/>
        <v>51840</v>
      </c>
      <c r="G62" s="49">
        <f t="shared" si="37"/>
        <v>62208</v>
      </c>
      <c r="H62" s="49">
        <f t="shared" si="37"/>
        <v>74649.599999999991</v>
      </c>
      <c r="I62" s="49">
        <f t="shared" si="37"/>
        <v>89579.51999999999</v>
      </c>
      <c r="J62" s="49">
        <f t="shared" si="37"/>
        <v>107495.42399999998</v>
      </c>
      <c r="K62" s="49">
        <f t="shared" si="37"/>
        <v>128994.50879999998</v>
      </c>
      <c r="L62" s="49">
        <f t="shared" si="37"/>
        <v>154793.41055999996</v>
      </c>
      <c r="M62" s="49">
        <f t="shared" si="37"/>
        <v>185752.09267199994</v>
      </c>
      <c r="N62" s="49">
        <f t="shared" si="37"/>
        <v>222902.51120639991</v>
      </c>
      <c r="O62" s="49">
        <f t="shared" si="37"/>
        <v>267483.01344767987</v>
      </c>
      <c r="P62" s="49">
        <f t="shared" si="37"/>
        <v>320979.61613721581</v>
      </c>
      <c r="Q62" s="49">
        <f t="shared" si="37"/>
        <v>385175.53936465894</v>
      </c>
      <c r="R62" s="49">
        <f t="shared" si="37"/>
        <v>462210.64723759069</v>
      </c>
      <c r="S62" s="49">
        <f t="shared" si="37"/>
        <v>554652.77668510878</v>
      </c>
    </row>
    <row r="63" spans="1:23" ht="14.25" customHeight="1" x14ac:dyDescent="0.35">
      <c r="A63" s="60" t="s">
        <v>154</v>
      </c>
      <c r="B63" s="49">
        <v>500000</v>
      </c>
      <c r="C63" s="49">
        <f t="shared" ref="C63:S63" si="38">B63*1.08</f>
        <v>540000</v>
      </c>
      <c r="D63" s="49">
        <f t="shared" si="38"/>
        <v>583200</v>
      </c>
      <c r="E63" s="49">
        <f t="shared" si="38"/>
        <v>629856</v>
      </c>
      <c r="F63" s="49">
        <f t="shared" si="38"/>
        <v>680244.4800000001</v>
      </c>
      <c r="G63" s="49">
        <f t="shared" si="38"/>
        <v>734664.03840000019</v>
      </c>
      <c r="H63" s="49">
        <f t="shared" si="38"/>
        <v>793437.1614720003</v>
      </c>
      <c r="I63" s="49">
        <f t="shared" si="38"/>
        <v>856912.13438976032</v>
      </c>
      <c r="J63" s="49">
        <f t="shared" si="38"/>
        <v>925465.10514094122</v>
      </c>
      <c r="K63" s="49">
        <f t="shared" si="38"/>
        <v>999502.31355221663</v>
      </c>
      <c r="L63" s="49">
        <f t="shared" si="38"/>
        <v>1079462.498636394</v>
      </c>
      <c r="M63" s="49">
        <f t="shared" si="38"/>
        <v>1165819.4985273057</v>
      </c>
      <c r="N63" s="49">
        <f t="shared" si="38"/>
        <v>1259085.0584094902</v>
      </c>
      <c r="O63" s="49">
        <f t="shared" si="38"/>
        <v>1359811.8630822494</v>
      </c>
      <c r="P63" s="49">
        <f t="shared" si="38"/>
        <v>1468596.8121288295</v>
      </c>
      <c r="Q63" s="49">
        <f t="shared" si="38"/>
        <v>1586084.5570991361</v>
      </c>
      <c r="R63" s="49">
        <f t="shared" si="38"/>
        <v>1712971.321667067</v>
      </c>
      <c r="S63" s="49">
        <f t="shared" si="38"/>
        <v>1850009.0274004324</v>
      </c>
    </row>
    <row r="64" spans="1:23" ht="14.25" customHeight="1" x14ac:dyDescent="0.35">
      <c r="A64" s="60" t="s">
        <v>155</v>
      </c>
      <c r="B64" s="49">
        <v>200000</v>
      </c>
      <c r="C64" s="49">
        <f t="shared" ref="C64:S64" si="39">B64*1.1</f>
        <v>220000.00000000003</v>
      </c>
      <c r="D64" s="49">
        <f t="shared" si="39"/>
        <v>242000.00000000006</v>
      </c>
      <c r="E64" s="49">
        <f t="shared" si="39"/>
        <v>266200.00000000006</v>
      </c>
      <c r="F64" s="49">
        <f t="shared" si="39"/>
        <v>292820.00000000012</v>
      </c>
      <c r="G64" s="49">
        <f t="shared" si="39"/>
        <v>322102.00000000017</v>
      </c>
      <c r="H64" s="49">
        <f t="shared" si="39"/>
        <v>354312.20000000024</v>
      </c>
      <c r="I64" s="49">
        <f t="shared" si="39"/>
        <v>389743.42000000027</v>
      </c>
      <c r="J64" s="49">
        <f t="shared" si="39"/>
        <v>428717.76200000034</v>
      </c>
      <c r="K64" s="49">
        <f t="shared" si="39"/>
        <v>471589.53820000042</v>
      </c>
      <c r="L64" s="49">
        <f t="shared" si="39"/>
        <v>518748.49202000053</v>
      </c>
      <c r="M64" s="49">
        <f t="shared" si="39"/>
        <v>570623.34122200066</v>
      </c>
      <c r="N64" s="49">
        <f t="shared" si="39"/>
        <v>627685.6753442008</v>
      </c>
      <c r="O64" s="49">
        <f t="shared" si="39"/>
        <v>690454.24287862098</v>
      </c>
      <c r="P64" s="49">
        <f t="shared" si="39"/>
        <v>759499.66716648312</v>
      </c>
      <c r="Q64" s="49">
        <f t="shared" si="39"/>
        <v>835449.63388313155</v>
      </c>
      <c r="R64" s="49">
        <f t="shared" si="39"/>
        <v>918994.59727144474</v>
      </c>
      <c r="S64" s="49">
        <f t="shared" si="39"/>
        <v>1010894.0569985893</v>
      </c>
      <c r="T64" t="s">
        <v>162</v>
      </c>
    </row>
    <row r="65" spans="1:20" ht="14.25" customHeight="1" x14ac:dyDescent="0.35">
      <c r="A65" s="60" t="s">
        <v>156</v>
      </c>
      <c r="B65" s="49">
        <v>10000</v>
      </c>
      <c r="C65" s="49">
        <f t="shared" ref="C65:S65" si="40">B65*1.3</f>
        <v>13000</v>
      </c>
      <c r="D65" s="49">
        <f t="shared" si="40"/>
        <v>16900</v>
      </c>
      <c r="E65" s="49">
        <f t="shared" si="40"/>
        <v>21970</v>
      </c>
      <c r="F65" s="49">
        <f t="shared" si="40"/>
        <v>28561</v>
      </c>
      <c r="G65" s="49">
        <f t="shared" si="40"/>
        <v>37129.300000000003</v>
      </c>
      <c r="H65" s="49">
        <f t="shared" si="40"/>
        <v>48268.090000000004</v>
      </c>
      <c r="I65" s="49">
        <f t="shared" si="40"/>
        <v>62748.517000000007</v>
      </c>
      <c r="J65" s="49">
        <f t="shared" si="40"/>
        <v>81573.072100000005</v>
      </c>
      <c r="K65" s="49">
        <f t="shared" si="40"/>
        <v>106044.99373000002</v>
      </c>
      <c r="L65" s="49">
        <f t="shared" si="40"/>
        <v>137858.49184900001</v>
      </c>
      <c r="M65" s="49">
        <f t="shared" si="40"/>
        <v>179216.03940370004</v>
      </c>
      <c r="N65" s="49">
        <f t="shared" si="40"/>
        <v>232980.85122481006</v>
      </c>
      <c r="O65" s="49">
        <f t="shared" si="40"/>
        <v>302875.10659225308</v>
      </c>
      <c r="P65" s="49">
        <f t="shared" si="40"/>
        <v>393737.638569929</v>
      </c>
      <c r="Q65" s="49">
        <f t="shared" si="40"/>
        <v>511858.9301409077</v>
      </c>
      <c r="R65" s="49">
        <f t="shared" si="40"/>
        <v>665416.60918318003</v>
      </c>
      <c r="S65" s="49">
        <f t="shared" si="40"/>
        <v>865041.59193813405</v>
      </c>
      <c r="T65" t="s">
        <v>163</v>
      </c>
    </row>
  </sheetData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26" customWidth="1"/>
    <col min="2" max="2" width="12" customWidth="1"/>
    <col min="3" max="3" width="78" customWidth="1"/>
  </cols>
  <sheetData>
    <row r="1">
      <c r="A1" t="inlineStr">
        <is>
          <t>Macro Levers (ITEM 8 / ITEM 9)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Edit column B. Read by dashboard + export.</t>
        </is>
      </c>
      <c r="B2" t="inlineStr">
        <is>
          <t>see</t>
        </is>
      </c>
      <c r="C2" t="inlineStr">
        <is>
          <t>research/model_corrections_2026-06-23.md (defaults = committed base, 332.4 GW @ 2029)</t>
        </is>
      </c>
    </row>
    <row r="3">
      <c r="A3" t="inlineStr">
        <is>
          <t>param_key</t>
        </is>
      </c>
      <c r="B3" t="inlineStr">
        <is>
          <t>value</t>
        </is>
      </c>
      <c r="C3" t="inlineStr">
        <is>
          <t>notes</t>
        </is>
      </c>
    </row>
    <row r="4">
      <c r="A4" t="inlineStr">
        <is>
          <t>use_flops_demand</t>
        </is>
      </c>
      <c r="B4">
        <v>0</v>
      </c>
      <c r="C4" t="inlineStr">
        <is>
          <t>1=ON: rebase demand on FLOPs (tokens x 2N). 0=committed token basis</t>
        </is>
      </c>
    </row>
    <row r="5">
      <c r="A5" t="inlineStr">
        <is>
          <t>flops_n_frontier_b</t>
        </is>
      </c>
      <c r="B5">
        <v>500</v>
      </c>
      <c r="C5" t="inlineStr">
        <is>
          <t>active params (billions), frontier tier</t>
        </is>
      </c>
    </row>
    <row r="6">
      <c r="A6" t="inlineStr">
        <is>
          <t>flops_n_mid_b</t>
        </is>
      </c>
      <c r="B6">
        <v>70</v>
      </c>
      <c r="C6" t="inlineStr">
        <is>
          <t>active params (billions), mid tier</t>
        </is>
      </c>
    </row>
    <row r="7">
      <c r="A7" t="inlineStr">
        <is>
          <t>flops_n_small_b</t>
        </is>
      </c>
      <c r="B7">
        <v>8</v>
      </c>
      <c r="C7" t="inlineStr">
        <is>
          <t>active params (billions), small tier</t>
        </is>
      </c>
    </row>
    <row r="8">
      <c r="A8" t="inlineStr">
        <is>
          <t>flops_mix2025_frontier</t>
        </is>
      </c>
      <c r="B8">
        <v>0.55</v>
      </c>
      <c r="C8" t="inlineStr">
        <is>
          <t>2025 token share, frontier</t>
        </is>
      </c>
    </row>
    <row r="9">
      <c r="A9" t="inlineStr">
        <is>
          <t>flops_mix2025_mid</t>
        </is>
      </c>
      <c r="B9">
        <v>0.3</v>
      </c>
      <c r="C9" t="inlineStr">
        <is>
          <t>2025 token share, mid</t>
        </is>
      </c>
    </row>
    <row r="10">
      <c r="A10" t="inlineStr">
        <is>
          <t>flops_mix2025_small</t>
        </is>
      </c>
      <c r="B10">
        <v>0.15</v>
      </c>
      <c r="C10" t="inlineStr">
        <is>
          <t>2025 token share, small</t>
        </is>
      </c>
    </row>
    <row r="11">
      <c r="A11" t="inlineStr">
        <is>
          <t>flops_mix2040_frontier</t>
        </is>
      </c>
      <c r="B11">
        <v>0.15</v>
      </c>
      <c r="C11" t="inlineStr">
        <is>
          <t>2040 token share, frontier</t>
        </is>
      </c>
    </row>
    <row r="12">
      <c r="A12" t="inlineStr">
        <is>
          <t>flops_mix2040_mid</t>
        </is>
      </c>
      <c r="B12">
        <v>0.35</v>
      </c>
      <c r="C12" t="inlineStr">
        <is>
          <t>2040 token share, mid</t>
        </is>
      </c>
    </row>
    <row r="13">
      <c r="A13" t="inlineStr">
        <is>
          <t>flops_mix2040_small</t>
        </is>
      </c>
      <c r="B13">
        <v>0.5</v>
      </c>
      <c r="C13" t="inlineStr">
        <is>
          <t>2040 token share, small</t>
        </is>
      </c>
    </row>
    <row r="14">
      <c r="A14" t="inlineStr">
        <is>
          <t>flops_mfu</t>
        </is>
      </c>
      <c r="B14">
        <v>0.35</v>
      </c>
      <c r="C14" t="inlineStr">
        <is>
          <t>model FLOPs utilization (cancels in 2025 anchor)</t>
        </is>
      </c>
    </row>
    <row r="15">
      <c r="A15" t="inlineStr">
        <is>
          <t>capacity_retirement_rate</t>
        </is>
      </c>
      <c r="B15">
        <v>0</v>
      </c>
      <c r="C15" t="inlineStr">
        <is>
          <t>ITEM 9: 0=plateau (base), 1=cliff, 0..1=controlled decline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40"/>
    <col min="2" max="9" width="17"/>
  </cols>
  <sheetData>
    <row r="1">
      <c r="A1" t="inlineStr">
        <is>
          <t>FLOPs to Power  ·  LIVE formulas (tokens -&gt; FLOPs -&gt; power)</t>
        </is>
      </c>
    </row>
    <row r="2">
      <c r="A2" t="inlineStr">
        <is>
          <t>Edit the inputs below; FLOPs and power recompute. Tokens are linked live to the 'Efficiency Overlay' sheet.</t>
        </is>
      </c>
    </row>
    <row r="3">
      <c r="A3" t="inlineStr">
        <is>
          <t>anchor_GW_2025</t>
        </is>
      </c>
      <c r="B3">
        <v>70.0</v>
      </c>
    </row>
    <row r="4">
      <c r="A4" t="inlineStr">
        <is>
          <t>retail_uplift_to_1400_user_basis</t>
        </is>
      </c>
      <c r="B4">
        <f>1400/'Efficiency Overlay'!C9-1</f>
        <v>0.2727272727272727</v>
      </c>
    </row>
    <row r="5">
      <c r="A5" t="inlineStr">
        <is>
          <t>capacity_retirement_rate_per_yr (ITEM 9: 0=plateau, 1=cliff)</t>
        </is>
      </c>
      <c r="B5">
        <v>0.0</v>
      </c>
    </row>
    <row r="6">
      <c r="A6" t="inlineStr">
        <is>
          <t>training share = 6N FLOPs/token vs 2N inference. A CONSTANT split cancels in the re-anchor; VARY it by year to bend the power curve.</t>
        </is>
      </c>
    </row>
    <row r="7">
      <c r="A7" t="inlineStr">
        <is>
          <t>year</t>
        </is>
      </c>
      <c r="B7" t="inlineStr">
        <is>
          <t>tokens_day_T</t>
        </is>
      </c>
      <c r="C7" t="inlineStr">
        <is>
          <t>training_share</t>
        </is>
      </c>
      <c r="D7" t="inlineStr">
        <is>
          <t>avg_N_active_B</t>
        </is>
      </c>
      <c r="E7" t="inlineStr">
        <is>
          <t>fleet_TFLOP_per_W</t>
        </is>
      </c>
      <c r="F7" t="inlineStr">
        <is>
          <t>FLOPs_per_token</t>
        </is>
      </c>
      <c r="G7" t="inlineStr">
        <is>
          <t>FLOPs_per_day</t>
        </is>
      </c>
      <c r="H7" t="inlineStr">
        <is>
          <t>power_raw_GW</t>
        </is>
      </c>
      <c r="I7" t="inlineStr">
        <is>
          <t>power_GW_floored</t>
        </is>
      </c>
    </row>
    <row r="8">
      <c r="A8">
        <v>2025</v>
      </c>
      <c r="B8">
        <f>'Efficiency Overlay'!C5+'Efficiency Overlay'!C7*$B$4</f>
        <v>134.9222</v>
      </c>
      <c r="C8">
        <v>0.0</v>
      </c>
      <c r="D8">
        <v>297.2</v>
      </c>
      <c r="E8">
        <v>9.0</v>
      </c>
      <c r="F8">
        <f>(2*(1-C8)+6*C8)*D8*1000000000</f>
        <v>594400000000.0</v>
      </c>
      <c r="G8">
        <f>B8*1000000000000*F8</f>
        <v>8.019775568e+25</v>
      </c>
      <c r="H8">
        <f>(G8/E8)/($G$8/$E$8)*$B$3</f>
        <v>70.0</v>
      </c>
      <c r="I8">
        <f>H8</f>
        <v>70.0</v>
      </c>
    </row>
    <row r="9">
      <c r="A9">
        <v>2026</v>
      </c>
      <c r="B9">
        <f>'Efficiency Overlay'!D5+'Efficiency Overlay'!D7*$B$4</f>
        <v>460.844025</v>
      </c>
      <c r="C9">
        <v>0.0</v>
      </c>
      <c r="D9">
        <v>284.28666666666675</v>
      </c>
      <c r="E9">
        <v>11.0</v>
      </c>
      <c r="F9">
        <f>(2*(1-C9)+6*C9)*D9*1000000000</f>
        <v>568573333333.3335</v>
      </c>
      <c r="G9">
        <f>B9*1000000000000*F9</f>
        <v>2.6202362344100007e+26</v>
      </c>
      <c r="H9">
        <f>(G9/E9)/($G$8/$E$8)*$B$3</f>
        <v>187.122537246895</v>
      </c>
      <c r="I9">
        <f>MAX(H9,I8*(1-$B$5))</f>
        <v>187.122537246895</v>
      </c>
    </row>
    <row r="10">
      <c r="A10">
        <v>2027</v>
      </c>
      <c r="B10">
        <f>'Efficiency Overlay'!E5+'Efficiency Overlay'!E7*$B$4</f>
        <v>763.613276375</v>
      </c>
      <c r="C10">
        <v>0.0</v>
      </c>
      <c r="D10">
        <v>271.37333333333333</v>
      </c>
      <c r="E10">
        <v>14.0</v>
      </c>
      <c r="F10">
        <f>(2*(1-C10)+6*C10)*D10*1000000000</f>
        <v>542746666666.6667</v>
      </c>
      <c r="G10">
        <f>B10*1000000000000*F10</f>
        <v>4.144485603749434e+26</v>
      </c>
      <c r="H10">
        <f>(G10/E10)/($G$8/$E$8)*$B$3</f>
        <v>232.55245809233412</v>
      </c>
      <c r="I10">
        <f>MAX(H10,I9*(1-$B$5))</f>
        <v>232.55245809233412</v>
      </c>
    </row>
    <row r="11">
      <c r="A11">
        <v>2028</v>
      </c>
      <c r="B11">
        <f>'Efficiency Overlay'!F5+'Efficiency Overlay'!F7*$B$4</f>
        <v>1359.8027322304688</v>
      </c>
      <c r="C11">
        <v>0.0</v>
      </c>
      <c r="D11">
        <v>258.46000000000004</v>
      </c>
      <c r="E11">
        <v>18.0</v>
      </c>
      <c r="F11">
        <f>(2*(1-C11)+6*C11)*D11*1000000000</f>
        <v>516920000000.00006</v>
      </c>
      <c r="G11">
        <f>B11*1000000000000*F11</f>
        <v>7.029092283445739e+26</v>
      </c>
      <c r="H11">
        <f>(G11/E11)/($G$8/$E$8)*$B$3</f>
        <v>306.7644821661184</v>
      </c>
      <c r="I11">
        <f>MAX(H11,I10*(1-$B$5))</f>
        <v>306.7644821661184</v>
      </c>
    </row>
    <row r="12">
      <c r="A12">
        <v>2029</v>
      </c>
      <c r="B12">
        <f>'Efficiency Overlay'!G5+'Efficiency Overlay'!G7*$B$4</f>
        <v>2172.793753804055</v>
      </c>
      <c r="C12">
        <v>0.0</v>
      </c>
      <c r="D12">
        <v>245.54666666666668</v>
      </c>
      <c r="E12">
        <v>21.5</v>
      </c>
      <c r="F12">
        <f>(2*(1-C12)+6*C12)*D12*1000000000</f>
        <v>491093333333.3334</v>
      </c>
      <c r="G12">
        <f>B12*1000000000000*F12</f>
        <v>1.0670445272014794e+27</v>
      </c>
      <c r="H12">
        <f>(G12/E12)/($G$8/$E$8)*$B$3</f>
        <v>389.8723334685694</v>
      </c>
      <c r="I12">
        <f>MAX(H12,I11*(1-$B$5))</f>
        <v>389.8723334685694</v>
      </c>
    </row>
    <row r="13">
      <c r="A13">
        <v>2030</v>
      </c>
      <c r="B13">
        <f>'Efficiency Overlay'!H5+'Efficiency Overlay'!H7*$B$4</f>
        <v>3253.5840749501463</v>
      </c>
      <c r="C13">
        <v>0.0</v>
      </c>
      <c r="D13">
        <v>232.63333333333338</v>
      </c>
      <c r="E13">
        <v>25.0</v>
      </c>
      <c r="F13">
        <f>(2*(1-C13)+6*C13)*D13*1000000000</f>
        <v>465266666666.66675</v>
      </c>
      <c r="G13">
        <f>B13*1000000000000*F13</f>
        <v>1.513784217271805e+27</v>
      </c>
      <c r="H13">
        <f>(G13/E13)/($G$8/$E$8)*$B$3</f>
        <v>475.6662072622415</v>
      </c>
      <c r="I13">
        <f>MAX(H13,I12*(1-$B$5))</f>
        <v>475.6662072622415</v>
      </c>
    </row>
    <row r="14">
      <c r="A14">
        <v>2031</v>
      </c>
      <c r="B14">
        <f>'Efficiency Overlay'!I5+'Efficiency Overlay'!I7*$B$4</f>
        <v>4573.0374147267485</v>
      </c>
      <c r="C14">
        <v>0.0</v>
      </c>
      <c r="D14">
        <v>219.72</v>
      </c>
      <c r="E14">
        <v>28.0</v>
      </c>
      <c r="F14">
        <f>(2*(1-C14)+6*C14)*D14*1000000000</f>
        <v>439440000000.0</v>
      </c>
      <c r="G14">
        <f>B14*1000000000000*F14</f>
        <v>2.009575561527522e+27</v>
      </c>
      <c r="H14">
        <f>(G14/E14)/($G$8/$E$8)*$B$3</f>
        <v>563.7994448970002</v>
      </c>
      <c r="I14">
        <f>MAX(H14,I13*(1-$B$5))</f>
        <v>563.7994448970002</v>
      </c>
    </row>
    <row r="15">
      <c r="A15">
        <v>2032</v>
      </c>
      <c r="B15">
        <f>'Efficiency Overlay'!J5+'Efficiency Overlay'!J7*$B$4</f>
        <v>5901.417521751226</v>
      </c>
      <c r="C15">
        <v>0.0</v>
      </c>
      <c r="D15">
        <v>206.80666666666667</v>
      </c>
      <c r="E15">
        <v>31.0</v>
      </c>
      <c r="F15">
        <f>(2*(1-C15)+6*C15)*D15*1000000000</f>
        <v>413613333333.3334</v>
      </c>
      <c r="G15">
        <f>B15*1000000000000*F15</f>
        <v>2.440904972563264e+27</v>
      </c>
      <c r="H15">
        <f>(G15/E15)/($G$8/$E$8)*$B$3</f>
        <v>618.5396053977472</v>
      </c>
      <c r="I15">
        <f>MAX(H15,I14*(1-$B$5))</f>
        <v>618.5396053977472</v>
      </c>
    </row>
    <row r="16">
      <c r="A16">
        <v>2033</v>
      </c>
      <c r="B16">
        <f>'Efficiency Overlay'!K5+'Efficiency Overlay'!K7*$B$4</f>
        <v>7334.615906104267</v>
      </c>
      <c r="C16">
        <v>0.0</v>
      </c>
      <c r="D16">
        <v>193.89333333333335</v>
      </c>
      <c r="E16">
        <v>34.0</v>
      </c>
      <c r="F16">
        <f>(2*(1-C16)+6*C16)*D16*1000000000</f>
        <v>387786666666.6667</v>
      </c>
      <c r="G16">
        <f>B16*1000000000000*F16</f>
        <v>2.8442662535084867e+27</v>
      </c>
      <c r="H16">
        <f>(G16/E16)/($G$8/$E$8)*$B$3</f>
        <v>657.1577986546976</v>
      </c>
      <c r="I16">
        <f>MAX(H16,I15*(1-$B$5))</f>
        <v>657.1577986546976</v>
      </c>
    </row>
    <row r="17">
      <c r="A17">
        <v>2034</v>
      </c>
      <c r="B17">
        <f>'Efficiency Overlay'!L5+'Efficiency Overlay'!L7*$B$4</f>
        <v>8998.706093065295</v>
      </c>
      <c r="C17">
        <v>0.0</v>
      </c>
      <c r="D17">
        <v>180.98000000000002</v>
      </c>
      <c r="E17">
        <v>37.0</v>
      </c>
      <c r="F17">
        <f>(2*(1-C17)+6*C17)*D17*1000000000</f>
        <v>361960000000.00006</v>
      </c>
      <c r="G17">
        <f>B17*1000000000000*F17</f>
        <v>3.2571716574459146e+27</v>
      </c>
      <c r="H17">
        <f>(G17/E17)/($G$8/$E$8)*$B$3</f>
        <v>691.539923689271</v>
      </c>
      <c r="I17">
        <f>MAX(H17,I16*(1-$B$5))</f>
        <v>691.539923689271</v>
      </c>
    </row>
    <row r="18">
      <c r="A18">
        <v>2035</v>
      </c>
      <c r="B18">
        <f>'Efficiency Overlay'!M5+'Efficiency Overlay'!M7*$B$4</f>
        <v>10620.445661620677</v>
      </c>
      <c r="C18">
        <v>0.0</v>
      </c>
      <c r="D18">
        <v>168.0666666666667</v>
      </c>
      <c r="E18">
        <v>40.0</v>
      </c>
      <c r="F18">
        <f>(2*(1-C18)+6*C18)*D18*1000000000</f>
        <v>336133333333.3334</v>
      </c>
      <c r="G18">
        <f>B18*1000000000000*F18</f>
        <v>3.5698858017260976e+27</v>
      </c>
      <c r="H18">
        <f>(G18/E18)/($G$8/$E$8)*$B$3</f>
        <v>701.0882150060941</v>
      </c>
      <c r="I18">
        <f>MAX(H18,I17*(1-$B$5))</f>
        <v>701.0882150060941</v>
      </c>
    </row>
    <row r="19">
      <c r="A19">
        <v>2036</v>
      </c>
      <c r="B19">
        <f>'Efficiency Overlay'!N5+'Efficiency Overlay'!N7*$B$4</f>
        <v>12433.27320756883</v>
      </c>
      <c r="C19">
        <v>0.0</v>
      </c>
      <c r="D19">
        <v>155.15333333333334</v>
      </c>
      <c r="E19">
        <v>42.857142857142854</v>
      </c>
      <c r="F19">
        <f>(2*(1-C19)+6*C19)*D19*1000000000</f>
        <v>310306666666.6667</v>
      </c>
      <c r="G19">
        <f>B19*1000000000000*F19</f>
        <v>3.858127564796659e+27</v>
      </c>
      <c r="H19">
        <f>(G19/E19)/($G$8/$E$8)*$B$3</f>
        <v>707.1828222825759</v>
      </c>
      <c r="I19">
        <f>MAX(H19,I18*(1-$B$5))</f>
        <v>707.1828222825759</v>
      </c>
    </row>
    <row r="20">
      <c r="A20">
        <v>2037</v>
      </c>
      <c r="B20">
        <f>'Efficiency Overlay'!O5+'Efficiency Overlay'!O7*$B$4</f>
        <v>14482.722955550775</v>
      </c>
      <c r="C20">
        <v>0.0</v>
      </c>
      <c r="D20">
        <v>142.24</v>
      </c>
      <c r="E20">
        <v>45.714285714285715</v>
      </c>
      <c r="F20">
        <f>(2*(1-C20)+6*C20)*D20*1000000000</f>
        <v>284480000000.0</v>
      </c>
      <c r="G20">
        <f>B20*1000000000000*F20</f>
        <v>4.1200450263950844e+27</v>
      </c>
      <c r="H20">
        <f>(G20/E20)/($G$8/$E$8)*$B$3</f>
        <v>707.9920134743508</v>
      </c>
      <c r="I20">
        <f>MAX(H20,I19*(1-$B$5))</f>
        <v>707.9920134743508</v>
      </c>
    </row>
    <row r="21">
      <c r="A21">
        <v>2038</v>
      </c>
      <c r="B21">
        <f>'Efficiency Overlay'!P5+'Efficiency Overlay'!P7*$B$4</f>
        <v>16709.132646039423</v>
      </c>
      <c r="C21">
        <v>0.0</v>
      </c>
      <c r="D21">
        <v>129.32666666666668</v>
      </c>
      <c r="E21">
        <v>48.57142857142857</v>
      </c>
      <c r="F21">
        <f>(2*(1-C21)+6*C21)*D21*1000000000</f>
        <v>258653333333.33337</v>
      </c>
      <c r="G21">
        <f>B21*1000000000000*F21</f>
        <v>4.3218728560069174e+27</v>
      </c>
      <c r="H21">
        <f>(G21/E21)/($G$8/$E$8)*$B$3</f>
        <v>698.9875557644821</v>
      </c>
      <c r="I21">
        <f>MAX(H21,I20*(1-$B$5))</f>
        <v>707.9920134743508</v>
      </c>
    </row>
    <row r="22">
      <c r="A22">
        <v>2039</v>
      </c>
      <c r="B22">
        <f>'Efficiency Overlay'!Q5+'Efficiency Overlay'!Q7*$B$4</f>
        <v>18373.445150193562</v>
      </c>
      <c r="C22">
        <v>0.0</v>
      </c>
      <c r="D22">
        <v>116.41333333333334</v>
      </c>
      <c r="E22">
        <v>51.42857142857143</v>
      </c>
      <c r="F22">
        <f>(2*(1-C22)+6*C22)*D22*1000000000</f>
        <v>232826666666.6667</v>
      </c>
      <c r="G22">
        <f>B22*1000000000000*F22</f>
        <v>4.2778279895023995e+27</v>
      </c>
      <c r="H22">
        <f>(G22/E22)/($G$8/$E$8)*$B$3</f>
        <v>653.4271742029924</v>
      </c>
      <c r="I22">
        <f>MAX(H22,I21*(1-$B$5))</f>
        <v>707.9920134743508</v>
      </c>
    </row>
    <row r="23">
      <c r="A23">
        <v>2040</v>
      </c>
      <c r="B23">
        <f>'Efficiency Overlay'!R5+'Efficiency Overlay'!R7*$B$4</f>
        <v>20019.811067386545</v>
      </c>
      <c r="C23">
        <v>0.0</v>
      </c>
      <c r="D23">
        <v>103.50000000000001</v>
      </c>
      <c r="E23">
        <v>54.285714285714285</v>
      </c>
      <c r="F23">
        <f>(2*(1-C23)+6*C23)*D23*1000000000</f>
        <v>207000000000.00003</v>
      </c>
      <c r="G23">
        <f>B23*1000000000000*F23</f>
        <v>4.1441008909490154e+27</v>
      </c>
      <c r="H23">
        <f>(G23/E23)/($G$8/$E$8)*$B$3</f>
        <v>599.684878766789</v>
      </c>
      <c r="I23">
        <f>MAX(H23,I22*(1-$B$5))</f>
        <v>707.9920134743508</v>
      </c>
    </row>
    <row r="24">
      <c r="A24">
        <v>2041</v>
      </c>
      <c r="B24">
        <f>'Efficiency Overlay'!S5+'Efficiency Overlay'!S7*$B$4</f>
        <v>21860.123936624695</v>
      </c>
      <c r="C24">
        <v>0.0</v>
      </c>
      <c r="D24">
        <v>103.50000000000001</v>
      </c>
      <c r="E24">
        <v>57.14285714285714</v>
      </c>
      <c r="F24">
        <f>(2*(1-C24)+6*C24)*D24*1000000000</f>
        <v>207000000000.00003</v>
      </c>
      <c r="G24">
        <f>B24*1000000000000*F24</f>
        <v>4.525045654881313e+27</v>
      </c>
      <c r="H24">
        <f>(G24/E24)/($G$8/$E$8)*$B$3</f>
        <v>622.0701305424171</v>
      </c>
      <c r="I24">
        <f>MAX(H24,I23*(1-$B$5))</f>
        <v>707.9920134743508</v>
      </c>
    </row>
    <row r="25">
      <c r="A25">
        <v>2042</v>
      </c>
      <c r="B25">
        <f>'Efficiency Overlay'!T5+'Efficiency Overlay'!T7*$B$4</f>
        <v>23789.688660175238</v>
      </c>
      <c r="C25">
        <v>0.0</v>
      </c>
      <c r="D25">
        <v>103.50000000000001</v>
      </c>
      <c r="E25">
        <v>60.0</v>
      </c>
      <c r="F25">
        <f>(2*(1-C25)+6*C25)*D25*1000000000</f>
        <v>207000000000.00003</v>
      </c>
      <c r="G25">
        <f>B25*1000000000000*F25</f>
        <v>4.9244655526562744e+27</v>
      </c>
      <c r="H25">
        <f>(G25/E25)/($G$8/$E$8)*$B$3</f>
        <v>644.7423355487456</v>
      </c>
      <c r="I25">
        <f>MAX(H25,I24*(1-$B$5))</f>
        <v>707.9920134743508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1" width="52"/>
    <col min="2" max="4" width="18"/>
  </cols>
  <sheetData>
    <row r="1">
      <c r="A1" s="47" t="inlineStr">
        <is>
          <t>AI POWER DEMAND  —  THE DURATION LENS</t>
        </is>
      </c>
    </row>
    <row r="2">
      <c r="A2" t="inlineStr">
        <is>
          <t>Token base (committed headline) vs the FLOPs lens. A token's power cost varies ~50x by model, so convert tokens -&gt; FLOPs -&gt; power. Live mechanics + stress-test inputs are on the 'FLOPs to Power' tab.</t>
        </is>
      </c>
    </row>
    <row r="4">
      <c r="A4" s="47" t="inlineStr">
        <is>
          <t>1. THE QUESTION</t>
        </is>
      </c>
    </row>
    <row r="5">
      <c r="A5" t="inlineStr">
        <is>
          <t>How big does AI power demand get, and how long does the shortage last? FLOPs/token = 2 x active params; that is the honest power unit a token-count model cannot see (routing/orchestration moves it).</t>
        </is>
      </c>
    </row>
    <row r="7">
      <c r="A7" s="47" t="inlineStr">
        <is>
          <t>2. THE CONVERSION  (one row = one year; full live version on 'FLOPs to Power')</t>
        </is>
      </c>
    </row>
    <row r="8">
      <c r="A8" s="47" t="inlineStr">
        <is>
          <t>step</t>
        </is>
      </c>
      <c r="B8" s="47" t="inlineStr">
        <is>
          <t>2025</t>
        </is>
      </c>
      <c r="C8" s="47" t="inlineStr">
        <is>
          <t>2035</t>
        </is>
      </c>
    </row>
    <row r="9">
      <c r="A9" t="inlineStr">
        <is>
          <t>tokens/day (T)</t>
        </is>
      </c>
      <c r="B9">
        <f>'FLOPs to Power'!B8</f>
        <v>134.9222</v>
      </c>
      <c r="C9">
        <f>'FLOPs to Power'!B18</f>
        <v>10620.445661620677</v>
      </c>
    </row>
    <row r="10">
      <c r="A10" t="inlineStr">
        <is>
          <t>x  FLOPs per token (2 x N_active)</t>
        </is>
      </c>
      <c r="B10">
        <f>'FLOPs to Power'!F8</f>
        <v>594400000000.0</v>
      </c>
      <c r="C10">
        <f>'FLOPs to Power'!F18</f>
        <v>336133333333.3334</v>
      </c>
    </row>
    <row r="11">
      <c r="A11" t="inlineStr">
        <is>
          <t>-&gt;  FLOPs per day</t>
        </is>
      </c>
      <c r="B11">
        <f>'FLOPs to Power'!G8</f>
        <v>8.019775568e+25</v>
      </c>
      <c r="C11">
        <f>'FLOPs to Power'!G18</f>
        <v>3.569885801726098e+27</v>
      </c>
    </row>
    <row r="12">
      <c r="A12" t="inlineStr">
        <is>
          <t>/  chip efficiency (TFLOP per W)</t>
        </is>
      </c>
      <c r="B12">
        <f>'FLOPs to Power'!E8</f>
        <v>9.0</v>
      </c>
      <c r="C12">
        <f>'FLOPs to Power'!E18</f>
        <v>40.0</v>
      </c>
    </row>
    <row r="13">
      <c r="A13" t="inlineStr">
        <is>
          <t>-&gt;  power (GW)</t>
        </is>
      </c>
      <c r="B13">
        <f>'FLOPs to Power'!I8</f>
        <v>70.0</v>
      </c>
      <c r="C13">
        <f>'FLOPs to Power'!I18</f>
        <v>701.0882150060941</v>
      </c>
    </row>
    <row r="15">
      <c r="A15" s="47" t="inlineStr">
        <is>
          <t>3. THE TUG-OF-WAR  (why power grows ~10x, not ~176x)</t>
        </is>
      </c>
    </row>
    <row r="16">
      <c r="A16" t="inlineStr">
        <is>
          <t>Tokens grow ~176x to 2042. But model size N falls ~3x (routing to smaller models) and chip TFLOP/W rises ~7x. Together they absorb most of it, so power grows ~10x.</t>
        </is>
      </c>
    </row>
    <row r="18">
      <c r="A18" s="47" t="inlineStr">
        <is>
          <t>4. TOKEN BASE  vs  FLOPs LENS</t>
        </is>
      </c>
    </row>
    <row r="19">
      <c r="A19" s="47" t="inlineStr">
        <is>
          <t>metric</t>
        </is>
      </c>
      <c r="B19" s="47" t="inlineStr">
        <is>
          <t>Token base</t>
        </is>
      </c>
      <c r="C19" s="47" t="inlineStr">
        <is>
          <t>FLOPs lens</t>
        </is>
      </c>
    </row>
    <row r="20">
      <c r="A20" t="inlineStr">
        <is>
          <t>Peak gap (GW)</t>
        </is>
      </c>
      <c r="B20">
        <v>332</v>
      </c>
      <c r="C20">
        <v>278</v>
      </c>
    </row>
    <row r="21">
      <c r="A21" t="inlineStr">
        <is>
          <t>Peak year</t>
        </is>
      </c>
      <c r="B21">
        <v>2029</v>
      </c>
      <c r="C21">
        <v>2031</v>
      </c>
    </row>
    <row r="22">
      <c r="A22" t="inlineStr">
        <is>
          <t>Demand floor 2042 (GW)</t>
        </is>
      </c>
      <c r="B22">
        <v>549</v>
      </c>
      <c r="C22">
        <f>ROUND('FLOPs to Power'!I25,0)</f>
        <v>708</v>
      </c>
    </row>
    <row r="23">
      <c r="A23" t="inlineStr">
        <is>
          <t>Gap closes (overshoot)</t>
        </is>
      </c>
      <c r="B23">
        <v>2034</v>
      </c>
      <c r="C23">
        <v>2036</v>
      </c>
    </row>
    <row r="24">
      <c r="A24" t="inlineStr">
        <is>
          <t>Read</t>
        </is>
      </c>
      <c r="B24" t="inlineStr">
        <is>
          <t>timing / peak</t>
        </is>
      </c>
      <c r="C24" t="inlineStr">
        <is>
          <t>duration / higher floor</t>
        </is>
      </c>
    </row>
    <row r="26">
      <c r="A26" s="47" t="inlineStr">
        <is>
          <t>5. CHART THIS  (select A27:D45, then Insert &gt; Line Chart)</t>
        </is>
      </c>
    </row>
    <row r="27">
      <c r="A27" s="47" t="inlineStr">
        <is>
          <t>year</t>
        </is>
      </c>
      <c r="B27" s="47" t="inlineStr">
        <is>
          <t>Token demand (GW)</t>
        </is>
      </c>
      <c r="C27" s="47" t="inlineStr">
        <is>
          <t>FLOPs demand (GW)</t>
        </is>
      </c>
      <c r="D27" s="47" t="inlineStr">
        <is>
          <t>Supply (GW)</t>
        </is>
      </c>
    </row>
    <row r="28">
      <c r="A28">
        <v>2025</v>
      </c>
      <c r="B28">
        <v>70.0</v>
      </c>
      <c r="C28">
        <f>ROUND('FLOPs to Power'!I8,1)</f>
        <v>70.0</v>
      </c>
      <c r="D28">
        <v>70.0</v>
      </c>
    </row>
    <row r="29">
      <c r="A29">
        <v>2026</v>
      </c>
      <c r="B29">
        <v>219.2</v>
      </c>
      <c r="C29">
        <f>ROUND('FLOPs to Power'!I9,1)</f>
        <v>187.1</v>
      </c>
      <c r="D29">
        <v>85.4</v>
      </c>
    </row>
    <row r="30">
      <c r="A30">
        <v>2027</v>
      </c>
      <c r="B30">
        <v>305.7</v>
      </c>
      <c r="C30">
        <f>ROUND('FLOPs to Power'!I10,1)</f>
        <v>232.6</v>
      </c>
      <c r="D30">
        <v>104.2</v>
      </c>
    </row>
    <row r="31">
      <c r="A31">
        <v>2028</v>
      </c>
      <c r="B31">
        <v>427.0</v>
      </c>
      <c r="C31">
        <f>ROUND('FLOPs to Power'!I11,1)</f>
        <v>306.8</v>
      </c>
      <c r="D31">
        <v>135.4</v>
      </c>
    </row>
    <row r="32">
      <c r="A32">
        <v>2029</v>
      </c>
      <c r="B32">
        <v>508.5</v>
      </c>
      <c r="C32">
        <f>ROUND('FLOPs to Power'!I12,1)</f>
        <v>389.9</v>
      </c>
      <c r="D32">
        <v>176.1</v>
      </c>
    </row>
    <row r="33">
      <c r="A33">
        <v>2030</v>
      </c>
      <c r="B33">
        <v>548.9</v>
      </c>
      <c r="C33">
        <f>ROUND('FLOPs to Power'!I13,1)</f>
        <v>475.7</v>
      </c>
      <c r="D33">
        <v>228.9</v>
      </c>
    </row>
    <row r="34">
      <c r="A34">
        <v>2031</v>
      </c>
      <c r="B34">
        <v>548.9</v>
      </c>
      <c r="C34">
        <f>ROUND('FLOPs to Power'!I14,1)</f>
        <v>563.8</v>
      </c>
      <c r="D34">
        <v>286.1</v>
      </c>
    </row>
    <row r="35">
      <c r="A35">
        <v>2032</v>
      </c>
      <c r="B35">
        <v>548.9</v>
      </c>
      <c r="C35">
        <f>ROUND('FLOPs to Power'!I15,1)</f>
        <v>618.5</v>
      </c>
      <c r="D35">
        <v>357.7</v>
      </c>
    </row>
    <row r="36">
      <c r="A36">
        <v>2033</v>
      </c>
      <c r="B36">
        <v>548.9</v>
      </c>
      <c r="C36">
        <f>ROUND('FLOPs to Power'!I16,1)</f>
        <v>657.2</v>
      </c>
      <c r="D36">
        <v>447.1</v>
      </c>
    </row>
    <row r="37">
      <c r="A37">
        <v>2034</v>
      </c>
      <c r="B37">
        <v>548.9</v>
      </c>
      <c r="C37">
        <f>ROUND('FLOPs to Power'!I17,1)</f>
        <v>691.5</v>
      </c>
      <c r="D37">
        <v>558.8</v>
      </c>
    </row>
    <row r="38">
      <c r="A38">
        <v>2035</v>
      </c>
      <c r="B38">
        <v>548.9</v>
      </c>
      <c r="C38">
        <f>ROUND('FLOPs to Power'!I18,1)</f>
        <v>701.1</v>
      </c>
      <c r="D38">
        <v>698.6</v>
      </c>
    </row>
    <row r="39">
      <c r="A39">
        <v>2036</v>
      </c>
      <c r="B39">
        <v>548.9</v>
      </c>
      <c r="C39">
        <f>ROUND('FLOPs to Power'!I19,1)</f>
        <v>707.2</v>
      </c>
      <c r="D39">
        <v>803.3</v>
      </c>
    </row>
    <row r="40">
      <c r="A40">
        <v>2037</v>
      </c>
      <c r="B40">
        <v>548.9</v>
      </c>
      <c r="C40">
        <f>ROUND('FLOPs to Power'!I20,1)</f>
        <v>708.0</v>
      </c>
      <c r="D40">
        <v>923.8</v>
      </c>
    </row>
    <row r="41">
      <c r="A41">
        <v>2038</v>
      </c>
      <c r="B41">
        <v>548.9</v>
      </c>
      <c r="C41">
        <f>ROUND('FLOPs to Power'!I21,1)</f>
        <v>708.0</v>
      </c>
      <c r="D41">
        <v>1062.4</v>
      </c>
    </row>
    <row r="42">
      <c r="A42">
        <v>2039</v>
      </c>
      <c r="B42">
        <v>548.9</v>
      </c>
      <c r="C42">
        <f>ROUND('FLOPs to Power'!I22,1)</f>
        <v>708.0</v>
      </c>
      <c r="D42">
        <v>1221.8</v>
      </c>
    </row>
    <row r="43">
      <c r="A43">
        <v>2040</v>
      </c>
      <c r="B43">
        <v>548.9</v>
      </c>
      <c r="C43">
        <f>ROUND('FLOPs to Power'!I23,1)</f>
        <v>708.0</v>
      </c>
      <c r="D43">
        <v>1405.0</v>
      </c>
    </row>
    <row r="44">
      <c r="A44">
        <v>2041</v>
      </c>
      <c r="B44">
        <v>548.9</v>
      </c>
      <c r="C44">
        <f>ROUND('FLOPs to Power'!I24,1)</f>
        <v>708.0</v>
      </c>
      <c r="D44">
        <v>1615.8</v>
      </c>
    </row>
    <row r="45">
      <c r="A45">
        <v>2042</v>
      </c>
      <c r="B45">
        <v>548.9</v>
      </c>
      <c r="C45">
        <f>ROUND('FLOPs to Power'!I25,1)</f>
        <v>708.0</v>
      </c>
      <c r="D45">
        <v>1858.2</v>
      </c>
    </row>
    <row r="47">
      <c r="A47" s="47" t="inlineStr">
        <is>
          <t>6. STRESS-TEST IT</t>
        </is>
      </c>
    </row>
    <row r="48">
      <c r="A48" t="inlineStr">
        <is>
          <t>Edit inputs on 'FLOPs to Power' (anchor, training share, N, TFLOP/W, retirement) — the FLOPs column above and this chart's FLOPs line update live. Broader levers on 'Macro Levers'.</t>
        </is>
      </c>
    </row>
    <row r="50">
      <c r="A50" s="47" t="inlineStr">
        <is>
          <t>7. THE TAKEAWAY</t>
        </is>
      </c>
    </row>
    <row r="51">
      <c r="A51" t="inlineStr">
        <is>
          <t>The FLOPs lens does NOT raise the peak (~278 vs 332). It raises the FLOOR (~708 vs 549, +29%) and extends the TIGHTNESS (gap closes ~2036 vs 2034). The power/grid/cooling case is about DURATION, not magnitude.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1" width="40"/>
    <col min="2" max="10" width="15"/>
  </cols>
  <sheetData>
    <row r="1">
      <c r="A1" s="47" t="inlineStr">
        <is>
          <t>OPERATING MODEL  —  Demand / Supply / Gap  (Bull / Base / Bear)</t>
        </is>
      </c>
    </row>
    <row r="2">
      <c r="A2" t="inlineStr">
        <is>
          <t>Set scenario in B3 (1=Bull, 2=Base, 3=Bear). Everything recomputes. Base inputs (tokens, N, TFLOP/W, training) live on 'FLOPs to Power'; this sheet overlays the scenario and adds supply + gap.</t>
        </is>
      </c>
    </row>
    <row r="3">
      <c r="A3" s="47" t="inlineStr">
        <is>
          <t>SCENARIO  (1=Bull  2=Base  3=Bear)</t>
        </is>
      </c>
      <c r="B3">
        <v>2</v>
      </c>
    </row>
    <row r="4">
      <c r="A4" t="inlineStr">
        <is>
          <t>active scenario</t>
        </is>
      </c>
      <c r="B4" t="str">
        <f>CHOOSE(B3,"Bull","Base","Bear")</f>
        <v>Base</v>
      </c>
    </row>
    <row r="6">
      <c r="A6" s="47" t="inlineStr">
        <is>
          <t>SCENARIO INPUTS</t>
        </is>
      </c>
      <c r="B6" s="47" t="inlineStr">
        <is>
          <t>Bull</t>
        </is>
      </c>
      <c r="C6" s="47" t="inlineStr">
        <is>
          <t>Base</t>
        </is>
      </c>
      <c r="D6" s="47" t="inlineStr">
        <is>
          <t>Bear</t>
        </is>
      </c>
    </row>
    <row r="7">
      <c r="A7" t="inlineStr">
        <is>
          <t>anchor GW 2025</t>
        </is>
      </c>
      <c r="B7">
        <v>70.0</v>
      </c>
      <c r="C7">
        <v>70.0</v>
      </c>
      <c r="D7">
        <v>70.0</v>
      </c>
    </row>
    <row r="8">
      <c r="A8" t="inlineStr">
        <is>
          <t>token growth adj (per yr)</t>
        </is>
      </c>
      <c r="B8">
        <v>0.02</v>
      </c>
      <c r="C8">
        <v>0.0</v>
      </c>
      <c r="D8">
        <v>-0.02</v>
      </c>
    </row>
    <row r="9">
      <c r="A9" t="inlineStr">
        <is>
          <t>efficiency adj (per yr, + = faster = less power)</t>
        </is>
      </c>
      <c r="B9">
        <v>-0.015</v>
      </c>
      <c r="C9">
        <v>0.0</v>
      </c>
      <c r="D9">
        <v>0.03</v>
      </c>
    </row>
    <row r="10">
      <c r="A10" t="inlineStr">
        <is>
          <t>capacity retirement (per yr)</t>
        </is>
      </c>
      <c r="B10">
        <v>0.0</v>
      </c>
      <c r="C10">
        <v>0.0</v>
      </c>
      <c r="D10">
        <v>0.08</v>
      </c>
    </row>
    <row r="11">
      <c r="A11" t="inlineStr">
        <is>
          <t>supply build scale (x phase rates)</t>
        </is>
      </c>
      <c r="B11">
        <v>0.85</v>
      </c>
      <c r="C11">
        <v>1.0</v>
      </c>
      <c r="D11">
        <v>1.15</v>
      </c>
    </row>
    <row r="13">
      <c r="A13" s="47" t="inlineStr">
        <is>
          <t>SUPPLY PHASE RATES (per yr, editable)</t>
        </is>
      </c>
    </row>
    <row r="14">
      <c r="A14" t="inlineStr">
        <is>
          <t>2026-2027</t>
        </is>
      </c>
      <c r="B14">
        <v>0.22</v>
      </c>
    </row>
    <row r="15">
      <c r="A15" t="inlineStr">
        <is>
          <t>2028-2030</t>
        </is>
      </c>
      <c r="B15">
        <v>0.3</v>
      </c>
    </row>
    <row r="16">
      <c r="A16" t="inlineStr">
        <is>
          <t>2031-2035</t>
        </is>
      </c>
      <c r="B16">
        <v>0.25</v>
      </c>
    </row>
    <row r="17">
      <c r="A17" t="inlineStr">
        <is>
          <t>2036-2042</t>
        </is>
      </c>
      <c r="B17">
        <v>0.15</v>
      </c>
    </row>
    <row r="19">
      <c r="A19" s="47" t="inlineStr">
        <is>
          <t>ACTIVE (from scenario)</t>
        </is>
      </c>
    </row>
    <row r="20">
      <c r="A20" t="inlineStr">
        <is>
          <t>anchor GW</t>
        </is>
      </c>
      <c r="B20">
        <f>CHOOSE($B$3,B7,C7,D7)</f>
        <v>70.0</v>
      </c>
    </row>
    <row r="21">
      <c r="A21" t="inlineStr">
        <is>
          <t>token growth adj</t>
        </is>
      </c>
      <c r="B21">
        <f>CHOOSE($B$3,B8,C8,D8)</f>
        <v>0.0</v>
      </c>
    </row>
    <row r="22">
      <c r="A22" t="inlineStr">
        <is>
          <t>efficiency adj</t>
        </is>
      </c>
      <c r="B22">
        <f>CHOOSE($B$3,B9,C9,D9)</f>
        <v>0.0</v>
      </c>
    </row>
    <row r="23">
      <c r="A23" t="inlineStr">
        <is>
          <t>retirement rate</t>
        </is>
      </c>
      <c r="B23">
        <f>CHOOSE($B$3,B10,C10,D10)</f>
        <v>0.0</v>
      </c>
    </row>
    <row r="24">
      <c r="A24" t="inlineStr">
        <is>
          <t>supply build scale</t>
        </is>
      </c>
      <c r="B24">
        <f>CHOOSE($B$3,B11,C11,D11)</f>
        <v>1.0</v>
      </c>
    </row>
    <row r="27">
      <c r="A27" s="47" t="inlineStr">
        <is>
          <t>year</t>
        </is>
      </c>
      <c r="B27" s="47" t="inlineStr">
        <is>
          <t>tokens/day T</t>
        </is>
      </c>
      <c r="C27" s="47" t="inlineStr">
        <is>
          <t>FLOPs/token</t>
        </is>
      </c>
      <c r="D27" s="47" t="inlineStr">
        <is>
          <t>eff TFLOP/W</t>
        </is>
      </c>
      <c r="E27" s="47" t="inlineStr">
        <is>
          <t>raw demand GW</t>
        </is>
      </c>
      <c r="F27" s="47" t="inlineStr">
        <is>
          <t>demand floored GW</t>
        </is>
      </c>
      <c r="G27" s="47" t="inlineStr">
        <is>
          <t>supply GW</t>
        </is>
      </c>
      <c r="H27" s="47" t="inlineStr">
        <is>
          <t>GAP GW</t>
        </is>
      </c>
      <c r="I27" s="47" t="inlineStr">
        <is>
          <t>_bal</t>
        </is>
      </c>
      <c r="J27" s="47" t="inlineStr">
        <is>
          <t>_over</t>
        </is>
      </c>
    </row>
    <row r="28">
      <c r="A28">
        <v>2025</v>
      </c>
      <c r="B28">
        <f>'FLOPs to Power'!B8*(1+$B$21)^0</f>
        <v>134.9222</v>
      </c>
      <c r="C28">
        <f>'FLOPs to Power'!F8</f>
        <v>594400000000.0</v>
      </c>
      <c r="D28">
        <f>'FLOPs to Power'!E8*(1+$B$22)^0</f>
        <v>9.0</v>
      </c>
      <c r="E28">
        <f>(B28*C28/D28)/(B28*C28/D28)*$B$20</f>
        <v>70.0</v>
      </c>
      <c r="F28">
        <f>E28</f>
        <v>70.0</v>
      </c>
      <c r="G28">
        <f>$B$20</f>
        <v>70.0</v>
      </c>
      <c r="H28">
        <f>F28-G28</f>
        <v>0.0</v>
      </c>
      <c r="I28">
        <f>IF(AND(A28&gt;=$B$48,H28&lt;30),A28,99999)</f>
        <v>99999</v>
      </c>
      <c r="J28">
        <f>IF(H28&lt;0,A28,99999)</f>
        <v>99999</v>
      </c>
    </row>
    <row r="29">
      <c r="A29">
        <v>2026</v>
      </c>
      <c r="B29">
        <f>'FLOPs to Power'!B9*(1+$B$21)^1</f>
        <v>460.844025</v>
      </c>
      <c r="C29">
        <f>'FLOPs to Power'!F9</f>
        <v>568573333333.3335</v>
      </c>
      <c r="D29">
        <f>'FLOPs to Power'!E9*(1+$B$22)^1</f>
        <v>11.0</v>
      </c>
      <c r="E29">
        <f>(B29*C29/D29)/(B28*C28/D28)*$B$20</f>
        <v>187.12253724689498</v>
      </c>
      <c r="F29">
        <f>MAX(E29,F28*(1-$B$23))</f>
        <v>187.12253724689498</v>
      </c>
      <c r="G29">
        <f>G28*(1+IF(A29&lt;=2027,$B$14,IF(A29&lt;=2030,$B$15,IF(A29&lt;=2035,$B$16,$B$17)))*$B$24)</f>
        <v>85.39999999999999</v>
      </c>
      <c r="H29">
        <f>F29-G29</f>
        <v>101.72253724689499</v>
      </c>
      <c r="I29">
        <f>IF(AND(A29&gt;=$B$48,H29&lt;30),A29,99999)</f>
        <v>99999</v>
      </c>
      <c r="J29">
        <f>IF(H29&lt;0,A29,99999)</f>
        <v>99999</v>
      </c>
    </row>
    <row r="30">
      <c r="A30">
        <v>2027</v>
      </c>
      <c r="B30">
        <f>'FLOPs to Power'!B10*(1+$B$21)^2</f>
        <v>763.613276375</v>
      </c>
      <c r="C30">
        <f>'FLOPs to Power'!F10</f>
        <v>542746666666.6667</v>
      </c>
      <c r="D30">
        <f>'FLOPs to Power'!E10*(1+$B$22)^2</f>
        <v>14.0</v>
      </c>
      <c r="E30">
        <f>(B30*C30/D30)/(B28*C28/D28)*$B$20</f>
        <v>232.55245809233412</v>
      </c>
      <c r="F30">
        <f>MAX(E30,F29*(1-$B$23))</f>
        <v>232.55245809233412</v>
      </c>
      <c r="G30">
        <f>G29*(1+IF(A30&lt;=2027,$B$14,IF(A30&lt;=2030,$B$15,IF(A30&lt;=2035,$B$16,$B$17)))*$B$24)</f>
        <v>104.18799999999999</v>
      </c>
      <c r="H30">
        <f>F30-G30</f>
        <v>128.36445809233413</v>
      </c>
      <c r="I30">
        <f>IF(AND(A30&gt;=$B$48,H30&lt;30),A30,99999)</f>
        <v>99999</v>
      </c>
      <c r="J30">
        <f>IF(H30&lt;0,A30,99999)</f>
        <v>99999</v>
      </c>
    </row>
    <row r="31">
      <c r="A31">
        <v>2028</v>
      </c>
      <c r="B31">
        <f>'FLOPs to Power'!B11*(1+$B$21)^3</f>
        <v>1359.8027322304688</v>
      </c>
      <c r="C31">
        <f>'FLOPs to Power'!F11</f>
        <v>516920000000.00006</v>
      </c>
      <c r="D31">
        <f>'FLOPs to Power'!E11*(1+$B$22)^3</f>
        <v>18.0</v>
      </c>
      <c r="E31">
        <f>(B31*C31/D31)/(B28*C28/D28)*$B$20</f>
        <v>306.76448216611846</v>
      </c>
      <c r="F31">
        <f>MAX(E31,F30*(1-$B$23))</f>
        <v>306.76448216611846</v>
      </c>
      <c r="G31">
        <f>G30*(1+IF(A31&lt;=2027,$B$14,IF(A31&lt;=2030,$B$15,IF(A31&lt;=2035,$B$16,$B$17)))*$B$24)</f>
        <v>135.4444</v>
      </c>
      <c r="H31">
        <f>F31-G31</f>
        <v>171.32008216611845</v>
      </c>
      <c r="I31">
        <f>IF(AND(A31&gt;=$B$48,H31&lt;30),A31,99999)</f>
        <v>99999</v>
      </c>
      <c r="J31">
        <f>IF(H31&lt;0,A31,99999)</f>
        <v>99999</v>
      </c>
    </row>
    <row r="32">
      <c r="A32">
        <v>2029</v>
      </c>
      <c r="B32">
        <f>'FLOPs to Power'!B12*(1+$B$21)^4</f>
        <v>2172.793753804055</v>
      </c>
      <c r="C32">
        <f>'FLOPs to Power'!F12</f>
        <v>491093333333.3334</v>
      </c>
      <c r="D32">
        <f>'FLOPs to Power'!E12*(1+$B$22)^4</f>
        <v>21.5</v>
      </c>
      <c r="E32">
        <f>(B32*C32/D32)/(B28*C28/D28)*$B$20</f>
        <v>389.8723334685694</v>
      </c>
      <c r="F32">
        <f>MAX(E32,F31*(1-$B$23))</f>
        <v>389.8723334685694</v>
      </c>
      <c r="G32">
        <f>G31*(1+IF(A32&lt;=2027,$B$14,IF(A32&lt;=2030,$B$15,IF(A32&lt;=2035,$B$16,$B$17)))*$B$24)</f>
        <v>176.07772</v>
      </c>
      <c r="H32">
        <f>F32-G32</f>
        <v>213.79461346856942</v>
      </c>
      <c r="I32">
        <f>IF(AND(A32&gt;=$B$48,H32&lt;30),A32,99999)</f>
        <v>99999</v>
      </c>
      <c r="J32">
        <f>IF(H32&lt;0,A32,99999)</f>
        <v>99999</v>
      </c>
    </row>
    <row r="33">
      <c r="A33">
        <v>2030</v>
      </c>
      <c r="B33">
        <f>'FLOPs to Power'!B13*(1+$B$21)^5</f>
        <v>3253.5840749501463</v>
      </c>
      <c r="C33">
        <f>'FLOPs to Power'!F13</f>
        <v>465266666666.66675</v>
      </c>
      <c r="D33">
        <f>'FLOPs to Power'!E13*(1+$B$22)^5</f>
        <v>25.0</v>
      </c>
      <c r="E33">
        <f>(B33*C33/D33)/(B28*C28/D28)*$B$20</f>
        <v>475.6662072622415</v>
      </c>
      <c r="F33">
        <f>MAX(E33,F32*(1-$B$23))</f>
        <v>475.6662072622415</v>
      </c>
      <c r="G33">
        <f>G32*(1+IF(A33&lt;=2027,$B$14,IF(A33&lt;=2030,$B$15,IF(A33&lt;=2035,$B$16,$B$17)))*$B$24)</f>
        <v>228.901036</v>
      </c>
      <c r="H33">
        <f>F33-G33</f>
        <v>246.76517126224152</v>
      </c>
      <c r="I33">
        <f>IF(AND(A33&gt;=$B$48,H33&lt;30),A33,99999)</f>
        <v>99999</v>
      </c>
      <c r="J33">
        <f>IF(H33&lt;0,A33,99999)</f>
        <v>99999</v>
      </c>
    </row>
    <row r="34">
      <c r="A34">
        <v>2031</v>
      </c>
      <c r="B34">
        <f>'FLOPs to Power'!B14*(1+$B$21)^6</f>
        <v>4573.0374147267485</v>
      </c>
      <c r="C34">
        <f>'FLOPs to Power'!F14</f>
        <v>439440000000.0</v>
      </c>
      <c r="D34">
        <f>'FLOPs to Power'!E14*(1+$B$22)^6</f>
        <v>28.0</v>
      </c>
      <c r="E34">
        <f>(B34*C34/D34)/(B28*C28/D28)*$B$20</f>
        <v>563.7994448970002</v>
      </c>
      <c r="F34">
        <f>MAX(E34,F33*(1-$B$23))</f>
        <v>563.7994448970002</v>
      </c>
      <c r="G34">
        <f>G33*(1+IF(A34&lt;=2027,$B$14,IF(A34&lt;=2030,$B$15,IF(A34&lt;=2035,$B$16,$B$17)))*$B$24)</f>
        <v>286.126295</v>
      </c>
      <c r="H34">
        <f>F34-G34</f>
        <v>277.67314989700014</v>
      </c>
      <c r="I34">
        <f>IF(AND(A34&gt;=$B$48,H34&lt;30),A34,99999)</f>
        <v>99999</v>
      </c>
      <c r="J34">
        <f>IF(H34&lt;0,A34,99999)</f>
        <v>99999</v>
      </c>
    </row>
    <row r="35">
      <c r="A35">
        <v>2032</v>
      </c>
      <c r="B35">
        <f>'FLOPs to Power'!B15*(1+$B$21)^7</f>
        <v>5901.417521751226</v>
      </c>
      <c r="C35">
        <f>'FLOPs to Power'!F15</f>
        <v>413613333333.3334</v>
      </c>
      <c r="D35">
        <f>'FLOPs to Power'!E15*(1+$B$22)^7</f>
        <v>31.0</v>
      </c>
      <c r="E35">
        <f>(B35*C35/D35)/(B28*C28/D28)*$B$20</f>
        <v>618.5396053977472</v>
      </c>
      <c r="F35">
        <f>MAX(E35,F34*(1-$B$23))</f>
        <v>618.5396053977472</v>
      </c>
      <c r="G35">
        <f>G34*(1+IF(A35&lt;=2027,$B$14,IF(A35&lt;=2030,$B$15,IF(A35&lt;=2035,$B$16,$B$17)))*$B$24)</f>
        <v>357.65786875000003</v>
      </c>
      <c r="H35">
        <f>F35-G35</f>
        <v>260.8817366477472</v>
      </c>
      <c r="I35">
        <f>IF(AND(A35&gt;=$B$48,H35&lt;30),A35,99999)</f>
        <v>99999</v>
      </c>
      <c r="J35">
        <f>IF(H35&lt;0,A35,99999)</f>
        <v>99999</v>
      </c>
    </row>
    <row r="36">
      <c r="A36">
        <v>2033</v>
      </c>
      <c r="B36">
        <f>'FLOPs to Power'!B16*(1+$B$21)^8</f>
        <v>7334.615906104267</v>
      </c>
      <c r="C36">
        <f>'FLOPs to Power'!F16</f>
        <v>387786666666.6667</v>
      </c>
      <c r="D36">
        <f>'FLOPs to Power'!E16*(1+$B$22)^8</f>
        <v>34.0</v>
      </c>
      <c r="E36">
        <f>(B36*C36/D36)/(B28*C28/D28)*$B$20</f>
        <v>657.1577986546977</v>
      </c>
      <c r="F36">
        <f>MAX(E36,F35*(1-$B$23))</f>
        <v>657.1577986546977</v>
      </c>
      <c r="G36">
        <f>G35*(1+IF(A36&lt;=2027,$B$14,IF(A36&lt;=2030,$B$15,IF(A36&lt;=2035,$B$16,$B$17)))*$B$24)</f>
        <v>447.07233593750004</v>
      </c>
      <c r="H36">
        <f>F36-G36</f>
        <v>210.08546271719763</v>
      </c>
      <c r="I36">
        <f>IF(AND(A36&gt;=$B$48,H36&lt;30),A36,99999)</f>
        <v>99999</v>
      </c>
      <c r="J36">
        <f>IF(H36&lt;0,A36,99999)</f>
        <v>99999</v>
      </c>
    </row>
    <row r="37">
      <c r="A37">
        <v>2034</v>
      </c>
      <c r="B37">
        <f>'FLOPs to Power'!B17*(1+$B$21)^9</f>
        <v>8998.706093065295</v>
      </c>
      <c r="C37">
        <f>'FLOPs to Power'!F17</f>
        <v>361960000000.00006</v>
      </c>
      <c r="D37">
        <f>'FLOPs to Power'!E17*(1+$B$22)^9</f>
        <v>37.0</v>
      </c>
      <c r="E37">
        <f>(B37*C37/D37)/(B28*C28/D28)*$B$20</f>
        <v>691.5399236892711</v>
      </c>
      <c r="F37">
        <f>MAX(E37,F36*(1-$B$23))</f>
        <v>691.5399236892711</v>
      </c>
      <c r="G37">
        <f>G36*(1+IF(A37&lt;=2027,$B$14,IF(A37&lt;=2030,$B$15,IF(A37&lt;=2035,$B$16,$B$17)))*$B$24)</f>
        <v>558.8404199218751</v>
      </c>
      <c r="H37">
        <f>F37-G37</f>
        <v>132.69950376739598</v>
      </c>
      <c r="I37">
        <f>IF(AND(A37&gt;=$B$48,H37&lt;30),A37,99999)</f>
        <v>99999</v>
      </c>
      <c r="J37">
        <f>IF(H37&lt;0,A37,99999)</f>
        <v>99999</v>
      </c>
    </row>
    <row r="38">
      <c r="A38">
        <v>2035</v>
      </c>
      <c r="B38">
        <f>'FLOPs to Power'!B18*(1+$B$21)^10</f>
        <v>10620.445661620677</v>
      </c>
      <c r="C38">
        <f>'FLOPs to Power'!F18</f>
        <v>336133333333.3334</v>
      </c>
      <c r="D38">
        <f>'FLOPs to Power'!E18*(1+$B$22)^10</f>
        <v>40.0</v>
      </c>
      <c r="E38">
        <f>(B38*C38/D38)/(B28*C28/D28)*$B$20</f>
        <v>701.088215006094</v>
      </c>
      <c r="F38">
        <f>MAX(E38,F37*(1-$B$23))</f>
        <v>701.088215006094</v>
      </c>
      <c r="G38">
        <f>G37*(1+IF(A38&lt;=2027,$B$14,IF(A38&lt;=2030,$B$15,IF(A38&lt;=2035,$B$16,$B$17)))*$B$24)</f>
        <v>698.5505249023438</v>
      </c>
      <c r="H38">
        <f>F38-G38</f>
        <v>2.537690103750151</v>
      </c>
      <c r="I38">
        <f>IF(AND(A38&gt;=$B$48,H38&lt;30),A38,99999)</f>
        <v>2035</v>
      </c>
      <c r="J38">
        <f>IF(H38&lt;0,A38,99999)</f>
        <v>99999</v>
      </c>
    </row>
    <row r="39">
      <c r="A39">
        <v>2036</v>
      </c>
      <c r="B39">
        <f>'FLOPs to Power'!B19*(1+$B$21)^11</f>
        <v>12433.27320756883</v>
      </c>
      <c r="C39">
        <f>'FLOPs to Power'!F19</f>
        <v>310306666666.6667</v>
      </c>
      <c r="D39">
        <f>'FLOPs to Power'!E19*(1+$B$22)^11</f>
        <v>42.857142857142854</v>
      </c>
      <c r="E39">
        <f>(B39*C39/D39)/(B28*C28/D28)*$B$20</f>
        <v>707.1828222825758</v>
      </c>
      <c r="F39">
        <f>MAX(E39,F38*(1-$B$23))</f>
        <v>707.1828222825758</v>
      </c>
      <c r="G39">
        <f>G38*(1+IF(A39&lt;=2027,$B$14,IF(A39&lt;=2030,$B$15,IF(A39&lt;=2035,$B$16,$B$17)))*$B$24)</f>
        <v>803.3331036376953</v>
      </c>
      <c r="H39">
        <f>F39-G39</f>
        <v>-96.15028135511955</v>
      </c>
      <c r="I39">
        <f>IF(AND(A39&gt;=$B$48,H39&lt;30),A39,99999)</f>
        <v>2036</v>
      </c>
      <c r="J39">
        <f>IF(H39&lt;0,A39,99999)</f>
        <v>2036</v>
      </c>
    </row>
    <row r="40">
      <c r="A40">
        <v>2037</v>
      </c>
      <c r="B40">
        <f>'FLOPs to Power'!B20*(1+$B$21)^12</f>
        <v>14482.722955550775</v>
      </c>
      <c r="C40">
        <f>'FLOPs to Power'!F20</f>
        <v>284480000000.0</v>
      </c>
      <c r="D40">
        <f>'FLOPs to Power'!E20*(1+$B$22)^12</f>
        <v>45.714285714285715</v>
      </c>
      <c r="E40">
        <f>(B40*C40/D40)/(B28*C28/D28)*$B$20</f>
        <v>707.9920134743508</v>
      </c>
      <c r="F40">
        <f>MAX(E40,F39*(1-$B$23))</f>
        <v>707.9920134743508</v>
      </c>
      <c r="G40">
        <f>G39*(1+IF(A40&lt;=2027,$B$14,IF(A40&lt;=2030,$B$15,IF(A40&lt;=2035,$B$16,$B$17)))*$B$24)</f>
        <v>923.8330691833496</v>
      </c>
      <c r="H40">
        <f>F40-G40</f>
        <v>-215.84105570899885</v>
      </c>
      <c r="I40">
        <f>IF(AND(A40&gt;=$B$48,H40&lt;30),A40,99999)</f>
        <v>2037</v>
      </c>
      <c r="J40">
        <f>IF(H40&lt;0,A40,99999)</f>
        <v>2037</v>
      </c>
    </row>
    <row r="41">
      <c r="A41">
        <v>2038</v>
      </c>
      <c r="B41">
        <f>'FLOPs to Power'!B21*(1+$B$21)^13</f>
        <v>16709.132646039423</v>
      </c>
      <c r="C41">
        <f>'FLOPs to Power'!F21</f>
        <v>258653333333.33337</v>
      </c>
      <c r="D41">
        <f>'FLOPs to Power'!E21*(1+$B$22)^13</f>
        <v>48.57142857142857</v>
      </c>
      <c r="E41">
        <f>(B41*C41/D41)/(B28*C28/D28)*$B$20</f>
        <v>698.9875557644822</v>
      </c>
      <c r="F41">
        <f>MAX(E41,F40*(1-$B$23))</f>
        <v>707.9920134743508</v>
      </c>
      <c r="G41">
        <f>G40*(1+IF(A41&lt;=2027,$B$14,IF(A41&lt;=2030,$B$15,IF(A41&lt;=2035,$B$16,$B$17)))*$B$24)</f>
        <v>1062.408029560852</v>
      </c>
      <c r="H41">
        <f>F41-G41</f>
        <v>-354.41601608650114</v>
      </c>
      <c r="I41">
        <f>IF(AND(A41&gt;=$B$48,H41&lt;30),A41,99999)</f>
        <v>2038</v>
      </c>
      <c r="J41">
        <f>IF(H41&lt;0,A41,99999)</f>
        <v>2038</v>
      </c>
    </row>
    <row r="42">
      <c r="A42">
        <v>2039</v>
      </c>
      <c r="B42">
        <f>'FLOPs to Power'!B22*(1+$B$21)^14</f>
        <v>18373.445150193562</v>
      </c>
      <c r="C42">
        <f>'FLOPs to Power'!F22</f>
        <v>232826666666.6667</v>
      </c>
      <c r="D42">
        <f>'FLOPs to Power'!E22*(1+$B$22)^14</f>
        <v>51.42857142857143</v>
      </c>
      <c r="E42">
        <f>(B42*C42/D42)/(B28*C28/D28)*$B$20</f>
        <v>653.4271742029925</v>
      </c>
      <c r="F42">
        <f>MAX(E42,F41*(1-$B$23))</f>
        <v>707.9920134743508</v>
      </c>
      <c r="G42">
        <f>G41*(1+IF(A42&lt;=2027,$B$14,IF(A42&lt;=2030,$B$15,IF(A42&lt;=2035,$B$16,$B$17)))*$B$24)</f>
        <v>1221.7692339949797</v>
      </c>
      <c r="H42">
        <f>F42-G42</f>
        <v>-513.7772205206289</v>
      </c>
      <c r="I42">
        <f>IF(AND(A42&gt;=$B$48,H42&lt;30),A42,99999)</f>
        <v>2039</v>
      </c>
      <c r="J42">
        <f>IF(H42&lt;0,A42,99999)</f>
        <v>2039</v>
      </c>
    </row>
    <row r="43">
      <c r="A43">
        <v>2040</v>
      </c>
      <c r="B43">
        <f>'FLOPs to Power'!B23*(1+$B$21)^15</f>
        <v>20019.811067386545</v>
      </c>
      <c r="C43">
        <f>'FLOPs to Power'!F23</f>
        <v>207000000000.00003</v>
      </c>
      <c r="D43">
        <f>'FLOPs to Power'!E23*(1+$B$22)^15</f>
        <v>54.285714285714285</v>
      </c>
      <c r="E43">
        <f>(B43*C43/D43)/(B28*C28/D28)*$B$20</f>
        <v>599.684878766789</v>
      </c>
      <c r="F43">
        <f>MAX(E43,F42*(1-$B$23))</f>
        <v>707.9920134743508</v>
      </c>
      <c r="G43">
        <f>G42*(1+IF(A43&lt;=2027,$B$14,IF(A43&lt;=2030,$B$15,IF(A43&lt;=2035,$B$16,$B$17)))*$B$24)</f>
        <v>1405.0346190942266</v>
      </c>
      <c r="H43">
        <f>F43-G43</f>
        <v>-697.0426056198759</v>
      </c>
      <c r="I43">
        <f>IF(AND(A43&gt;=$B$48,H43&lt;30),A43,99999)</f>
        <v>2040</v>
      </c>
      <c r="J43">
        <f>IF(H43&lt;0,A43,99999)</f>
        <v>2040</v>
      </c>
    </row>
    <row r="44">
      <c r="A44">
        <v>2041</v>
      </c>
      <c r="B44">
        <f>'FLOPs to Power'!B24*(1+$B$21)^16</f>
        <v>21860.123936624695</v>
      </c>
      <c r="C44">
        <f>'FLOPs to Power'!F24</f>
        <v>207000000000.00003</v>
      </c>
      <c r="D44">
        <f>'FLOPs to Power'!E24*(1+$B$22)^16</f>
        <v>57.14285714285714</v>
      </c>
      <c r="E44">
        <f>(B44*C44/D44)/(B28*C28/D28)*$B$20</f>
        <v>622.0701305424171</v>
      </c>
      <c r="F44">
        <f>MAX(E44,F43*(1-$B$23))</f>
        <v>707.9920134743508</v>
      </c>
      <c r="G44">
        <f>G43*(1+IF(A44&lt;=2027,$B$14,IF(A44&lt;=2030,$B$15,IF(A44&lt;=2035,$B$16,$B$17)))*$B$24)</f>
        <v>1615.7898119583606</v>
      </c>
      <c r="H44">
        <f>F44-G44</f>
        <v>-907.7977984840098</v>
      </c>
      <c r="I44">
        <f>IF(AND(A44&gt;=$B$48,H44&lt;30),A44,99999)</f>
        <v>2041</v>
      </c>
      <c r="J44">
        <f>IF(H44&lt;0,A44,99999)</f>
        <v>2041</v>
      </c>
    </row>
    <row r="45">
      <c r="A45">
        <v>2042</v>
      </c>
      <c r="B45">
        <f>'FLOPs to Power'!B25*(1+$B$21)^17</f>
        <v>23789.688660175238</v>
      </c>
      <c r="C45">
        <f>'FLOPs to Power'!F25</f>
        <v>207000000000.00003</v>
      </c>
      <c r="D45">
        <f>'FLOPs to Power'!E25*(1+$B$22)^17</f>
        <v>60.0</v>
      </c>
      <c r="E45">
        <f>(B45*C45/D45)/(B28*C28/D28)*$B$20</f>
        <v>644.7423355487456</v>
      </c>
      <c r="F45">
        <f>MAX(E45,F44*(1-$B$23))</f>
        <v>707.9920134743508</v>
      </c>
      <c r="G45">
        <f>G44*(1+IF(A45&lt;=2027,$B$14,IF(A45&lt;=2030,$B$15,IF(A45&lt;=2035,$B$16,$B$17)))*$B$24)</f>
        <v>1858.1582837521146</v>
      </c>
      <c r="H45">
        <f>F45-G45</f>
        <v>-1150.166270277764</v>
      </c>
      <c r="I45">
        <f>IF(AND(A45&gt;=$B$48,H45&lt;30),A45,99999)</f>
        <v>2042</v>
      </c>
      <c r="J45">
        <f>IF(H45&lt;0,A45,99999)</f>
        <v>2042</v>
      </c>
    </row>
    <row r="47">
      <c r="A47" s="47" t="inlineStr">
        <is>
          <t>PEAK GAP (GW)</t>
        </is>
      </c>
      <c r="B47">
        <f>MAX(H28:H45)</f>
        <v>277.67314989700014</v>
      </c>
    </row>
    <row r="48">
      <c r="A48" t="inlineStr">
        <is>
          <t>peak year</t>
        </is>
      </c>
      <c r="B48">
        <f>INDEX(A28:A45,MATCH(MAX(H28:H45),H28:H45,0))</f>
        <v>2031</v>
      </c>
    </row>
    <row r="49">
      <c r="A49" t="inlineStr">
        <is>
          <t>balance year (gap&lt;30 after peak)</t>
        </is>
      </c>
      <c r="B49">
        <f>IF(MIN(I28:I45)=99999,"post-2042",MIN(I28:I45))</f>
        <v>2035</v>
      </c>
    </row>
    <row r="50">
      <c r="A50" t="inlineStr">
        <is>
          <t>overshoot year (gap&lt;0)</t>
        </is>
      </c>
      <c r="B50">
        <f>IF(MIN(J28:J45)=99999,"post-2042",MIN(J28:J45))</f>
        <v>2036</v>
      </c>
    </row>
    <row r="51">
      <c r="A51" t="inlineStr">
        <is>
          <t>demand floor 2042 (GW)</t>
        </is>
      </c>
      <c r="B51">
        <f>ROUND(F45,0)</f>
        <v>708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Efficiency Overlay</vt:lpstr>
      <vt:lpstr>Base</vt:lpstr>
      <vt:lpstr>Robo Bull</vt:lpstr>
      <vt:lpstr>Bear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McSweeney</dc:creator>
  <dc:description/>
  <cp:lastModifiedBy>yudi bendahan</cp:lastModifiedBy>
  <cp:revision>3</cp:revision>
  <dcterms:created xsi:type="dcterms:W3CDTF">2026-04-25T13:05:37Z</dcterms:created>
  <dcterms:modified xsi:type="dcterms:W3CDTF">2026-04-28T18:21:23Z</dcterms:modified>
  <dc:language>en-US</dc:language>
</cp:coreProperties>
</file>